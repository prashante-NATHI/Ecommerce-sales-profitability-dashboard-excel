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sh\Downloads\Project on exceel\"/>
    </mc:Choice>
  </mc:AlternateContent>
  <xr:revisionPtr revIDLastSave="0" documentId="13_ncr:1_{6AFE3530-63BD-4407-9C75-3CA8B1E3FF05}" xr6:coauthVersionLast="47" xr6:coauthVersionMax="47" xr10:uidLastSave="{00000000-0000-0000-0000-000000000000}"/>
  <bookViews>
    <workbookView xWindow="-108" yWindow="-108" windowWidth="23256" windowHeight="13176" firstSheet="2" activeTab="5" xr2:uid="{00000000-000D-0000-FFFF-FFFF00000000}"/>
  </bookViews>
  <sheets>
    <sheet name="Start Here" sheetId="1" r:id="rId1"/>
    <sheet name="Cleaned_data" sheetId="7" r:id="rId2"/>
    <sheet name="Raw_Sales" sheetId="2" r:id="rId3"/>
    <sheet name="Pivot_Analysis" sheetId="8" r:id="rId4"/>
    <sheet name="Sales_Targets" sheetId="4" r:id="rId5"/>
    <sheet name="Dashboard_Canvas" sheetId="5" r:id="rId6"/>
    <sheet name="Product_Lookup" sheetId="3" r:id="rId7"/>
    <sheet name="Work_Log" sheetId="6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D5" i="5"/>
  <c r="J5" i="5"/>
  <c r="M5" i="5"/>
  <c r="F5" i="4"/>
  <c r="F6" i="4"/>
  <c r="F7" i="4"/>
  <c r="F8" i="4"/>
  <c r="F9" i="4"/>
  <c r="E5" i="4"/>
  <c r="E6" i="4"/>
  <c r="E7" i="4"/>
  <c r="E8" i="4"/>
  <c r="E9" i="4"/>
  <c r="E4" i="4"/>
  <c r="D4" i="4"/>
  <c r="D5" i="4"/>
  <c r="D6" i="4"/>
  <c r="D7" i="4"/>
  <c r="D8" i="4"/>
  <c r="D9" i="4"/>
  <c r="Z2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2" i="7"/>
  <c r="AA2" i="7" a="1"/>
  <c r="AA2" i="7" s="1"/>
  <c r="AA3" i="7" a="1"/>
  <c r="AA3" i="7"/>
  <c r="AA4" i="7" a="1"/>
  <c r="AA4" i="7" s="1"/>
  <c r="AA5" i="7" a="1"/>
  <c r="AA5" i="7"/>
  <c r="AA6" i="7" a="1"/>
  <c r="AA6" i="7" s="1"/>
  <c r="AA7" i="7" a="1"/>
  <c r="AA7" i="7"/>
  <c r="AA8" i="7" a="1"/>
  <c r="AA8" i="7"/>
  <c r="AA9" i="7" a="1"/>
  <c r="AA9" i="7"/>
  <c r="AA10" i="7" a="1"/>
  <c r="AA10" i="7" s="1"/>
  <c r="AA11" i="7" a="1"/>
  <c r="AA11" i="7"/>
  <c r="AA12" i="7" a="1"/>
  <c r="AA12" i="7" s="1"/>
  <c r="AA13" i="7" a="1"/>
  <c r="AA13" i="7"/>
  <c r="AA14" i="7" a="1"/>
  <c r="AA14" i="7" s="1"/>
  <c r="AA15" i="7" a="1"/>
  <c r="AA15" i="7"/>
  <c r="AA16" i="7" a="1"/>
  <c r="AA16" i="7"/>
  <c r="AA17" i="7" a="1"/>
  <c r="AA17" i="7"/>
  <c r="AA18" i="7" a="1"/>
  <c r="AA18" i="7" s="1"/>
  <c r="AA19" i="7" a="1"/>
  <c r="AA19" i="7"/>
  <c r="AA20" i="7" a="1"/>
  <c r="AA20" i="7" s="1"/>
  <c r="AA21" i="7" a="1"/>
  <c r="AA21" i="7"/>
  <c r="AA22" i="7" a="1"/>
  <c r="AA22" i="7" s="1"/>
  <c r="AA23" i="7" a="1"/>
  <c r="AA23" i="7"/>
  <c r="AA24" i="7" a="1"/>
  <c r="AA24" i="7"/>
  <c r="AA25" i="7" a="1"/>
  <c r="AA25" i="7"/>
  <c r="AA26" i="7" a="1"/>
  <c r="AA26" i="7" s="1"/>
  <c r="AA27" i="7" a="1"/>
  <c r="AA27" i="7"/>
  <c r="AA28" i="7" a="1"/>
  <c r="AA28" i="7" s="1"/>
  <c r="AA29" i="7" a="1"/>
  <c r="AA29" i="7"/>
  <c r="AA30" i="7" a="1"/>
  <c r="AA30" i="7" s="1"/>
  <c r="AA31" i="7" a="1"/>
  <c r="AA31" i="7"/>
  <c r="AA32" i="7" a="1"/>
  <c r="AA32" i="7"/>
  <c r="AA33" i="7" a="1"/>
  <c r="AA33" i="7"/>
  <c r="AA34" i="7" a="1"/>
  <c r="AA34" i="7" s="1"/>
  <c r="AA35" i="7" a="1"/>
  <c r="AA35" i="7"/>
  <c r="AA36" i="7" a="1"/>
  <c r="AA36" i="7" s="1"/>
  <c r="AA37" i="7" a="1"/>
  <c r="AA37" i="7"/>
  <c r="AA38" i="7" a="1"/>
  <c r="AA38" i="7" s="1"/>
  <c r="AA39" i="7" a="1"/>
  <c r="AA39" i="7"/>
  <c r="AA40" i="7" a="1"/>
  <c r="AA40" i="7"/>
  <c r="AA41" i="7" a="1"/>
  <c r="AA41" i="7"/>
  <c r="AA42" i="7" a="1"/>
  <c r="AA42" i="7" s="1"/>
  <c r="AA43" i="7" a="1"/>
  <c r="AA43" i="7"/>
  <c r="AA44" i="7" a="1"/>
  <c r="AA44" i="7" s="1"/>
  <c r="AA45" i="7" a="1"/>
  <c r="AA45" i="7"/>
  <c r="AA46" i="7" a="1"/>
  <c r="AA46" i="7" s="1"/>
  <c r="AA47" i="7" a="1"/>
  <c r="AA47" i="7"/>
  <c r="AA48" i="7" a="1"/>
  <c r="AA48" i="7"/>
  <c r="AA49" i="7" a="1"/>
  <c r="AA49" i="7"/>
  <c r="AA50" i="7" a="1"/>
  <c r="AA50" i="7" s="1"/>
  <c r="AA51" i="7" a="1"/>
  <c r="AA51" i="7"/>
  <c r="AA52" i="7" a="1"/>
  <c r="AA52" i="7" s="1"/>
  <c r="AA53" i="7" a="1"/>
  <c r="AA53" i="7"/>
  <c r="AA54" i="7" a="1"/>
  <c r="AA54" i="7" s="1"/>
  <c r="AA55" i="7" a="1"/>
  <c r="AA55" i="7"/>
  <c r="AA56" i="7" a="1"/>
  <c r="AA56" i="7"/>
  <c r="AA57" i="7" a="1"/>
  <c r="AA57" i="7"/>
  <c r="AA58" i="7" a="1"/>
  <c r="AA58" i="7" s="1"/>
  <c r="AA59" i="7" a="1"/>
  <c r="AA59" i="7"/>
  <c r="AA60" i="7" a="1"/>
  <c r="AA60" i="7" s="1"/>
  <c r="AA61" i="7" a="1"/>
  <c r="AA61" i="7"/>
  <c r="AA62" i="7" a="1"/>
  <c r="AA62" i="7" s="1"/>
  <c r="AA63" i="7" a="1"/>
  <c r="AA63" i="7"/>
  <c r="AA64" i="7" a="1"/>
  <c r="AA64" i="7"/>
  <c r="AA65" i="7" a="1"/>
  <c r="AA65" i="7"/>
  <c r="AA66" i="7" a="1"/>
  <c r="AA66" i="7" s="1"/>
  <c r="AA67" i="7" a="1"/>
  <c r="AA67" i="7"/>
  <c r="AA68" i="7" a="1"/>
  <c r="AA68" i="7" s="1"/>
  <c r="AA69" i="7" a="1"/>
  <c r="AA69" i="7"/>
  <c r="AA70" i="7" a="1"/>
  <c r="AA70" i="7" s="1"/>
  <c r="AA71" i="7" a="1"/>
  <c r="AA71" i="7"/>
  <c r="AA72" i="7" a="1"/>
  <c r="AA72" i="7"/>
  <c r="AA73" i="7" a="1"/>
  <c r="AA73" i="7"/>
  <c r="AA74" i="7" a="1"/>
  <c r="AA74" i="7" s="1"/>
  <c r="AA75" i="7" a="1"/>
  <c r="AA75" i="7"/>
  <c r="AA76" i="7" a="1"/>
  <c r="AA76" i="7" s="1"/>
  <c r="AA77" i="7" a="1"/>
  <c r="AA77" i="7"/>
  <c r="AA78" i="7" a="1"/>
  <c r="AA78" i="7" s="1"/>
  <c r="AA79" i="7" a="1"/>
  <c r="AA79" i="7"/>
  <c r="AA80" i="7" a="1"/>
  <c r="AA80" i="7"/>
  <c r="AA81" i="7" a="1"/>
  <c r="AA81" i="7"/>
  <c r="AA82" i="7" a="1"/>
  <c r="AA82" i="7" s="1"/>
  <c r="AA83" i="7" a="1"/>
  <c r="AA83" i="7"/>
  <c r="AA84" i="7" a="1"/>
  <c r="AA84" i="7" s="1"/>
  <c r="AA85" i="7" a="1"/>
  <c r="AA85" i="7"/>
  <c r="AA86" i="7" a="1"/>
  <c r="AA86" i="7" s="1"/>
  <c r="AA87" i="7" a="1"/>
  <c r="AA87" i="7"/>
  <c r="AA88" i="7" a="1"/>
  <c r="AA88" i="7"/>
  <c r="AA89" i="7" a="1"/>
  <c r="AA89" i="7"/>
  <c r="AA90" i="7" a="1"/>
  <c r="AA90" i="7" s="1"/>
  <c r="AA91" i="7" a="1"/>
  <c r="AA91" i="7"/>
  <c r="AA92" i="7" a="1"/>
  <c r="AA92" i="7" s="1"/>
  <c r="AA93" i="7" a="1"/>
  <c r="AA93" i="7"/>
  <c r="AA94" i="7" a="1"/>
  <c r="AA94" i="7" s="1"/>
  <c r="AA95" i="7" a="1"/>
  <c r="AA95" i="7"/>
  <c r="AA96" i="7" a="1"/>
  <c r="AA96" i="7"/>
  <c r="AA97" i="7" a="1"/>
  <c r="AA97" i="7"/>
  <c r="AA98" i="7" a="1"/>
  <c r="AA98" i="7" s="1"/>
  <c r="AA99" i="7" a="1"/>
  <c r="AA99" i="7"/>
  <c r="AA100" i="7" a="1"/>
  <c r="AA100" i="7" s="1"/>
  <c r="AA101" i="7" a="1"/>
  <c r="AA101" i="7" s="1"/>
  <c r="AA102" i="7" a="1"/>
  <c r="AA102" i="7" s="1"/>
  <c r="AA103" i="7" a="1"/>
  <c r="AA103" i="7"/>
  <c r="AA104" i="7" a="1"/>
  <c r="AA104" i="7"/>
  <c r="AA105" i="7" a="1"/>
  <c r="AA105" i="7"/>
  <c r="AA106" i="7" a="1"/>
  <c r="AA106" i="7" s="1"/>
  <c r="AA107" i="7" a="1"/>
  <c r="AA107" i="7"/>
  <c r="AA108" i="7" a="1"/>
  <c r="AA108" i="7" s="1"/>
  <c r="AA109" i="7" a="1"/>
  <c r="AA109" i="7" s="1"/>
  <c r="AA110" i="7" a="1"/>
  <c r="AA110" i="7" s="1"/>
  <c r="AA111" i="7" a="1"/>
  <c r="AA111" i="7"/>
  <c r="AA112" i="7" a="1"/>
  <c r="AA112" i="7"/>
  <c r="AA113" i="7" a="1"/>
  <c r="AA113" i="7"/>
  <c r="AA114" i="7" a="1"/>
  <c r="AA114" i="7" s="1"/>
  <c r="AA115" i="7" a="1"/>
  <c r="AA115" i="7" s="1"/>
  <c r="AA116" i="7" a="1"/>
  <c r="AA116" i="7" s="1"/>
  <c r="AA117" i="7" a="1"/>
  <c r="AA117" i="7" s="1"/>
  <c r="AA118" i="7" a="1"/>
  <c r="AA118" i="7" s="1"/>
  <c r="AA119" i="7" a="1"/>
  <c r="AA119" i="7"/>
  <c r="AA120" i="7" a="1"/>
  <c r="AA120" i="7"/>
  <c r="AA121" i="7" a="1"/>
  <c r="AA121" i="7"/>
  <c r="AA122" i="7" a="1"/>
  <c r="AA122" i="7" s="1"/>
  <c r="AA123" i="7" a="1"/>
  <c r="AA123" i="7" s="1"/>
  <c r="AA124" i="7" a="1"/>
  <c r="AA124" i="7" s="1"/>
  <c r="AA125" i="7" a="1"/>
  <c r="AA125" i="7" s="1"/>
  <c r="AA126" i="7" a="1"/>
  <c r="AA126" i="7" s="1"/>
  <c r="AA127" i="7" a="1"/>
  <c r="AA127" i="7"/>
  <c r="AA128" i="7" a="1"/>
  <c r="AA128" i="7"/>
  <c r="AA129" i="7" a="1"/>
  <c r="AA129" i="7"/>
  <c r="AA130" i="7" a="1"/>
  <c r="AA130" i="7" s="1"/>
  <c r="AA131" i="7" a="1"/>
  <c r="AA131" i="7" s="1"/>
  <c r="AA132" i="7" a="1"/>
  <c r="AA132" i="7" s="1"/>
  <c r="AA133" i="7" a="1"/>
  <c r="AA133" i="7" s="1"/>
  <c r="AA134" i="7" a="1"/>
  <c r="AA134" i="7" s="1"/>
  <c r="AA135" i="7" a="1"/>
  <c r="AA135" i="7"/>
  <c r="AA136" i="7" a="1"/>
  <c r="AA136" i="7"/>
  <c r="AA137" i="7" a="1"/>
  <c r="AA137" i="7"/>
  <c r="AA138" i="7" a="1"/>
  <c r="AA138" i="7" s="1"/>
  <c r="AA139" i="7" a="1"/>
  <c r="AA139" i="7" s="1"/>
  <c r="AA140" i="7" a="1"/>
  <c r="AA140" i="7" s="1"/>
  <c r="AA141" i="7" a="1"/>
  <c r="AA141" i="7" s="1"/>
  <c r="AA142" i="7" a="1"/>
  <c r="AA142" i="7" s="1"/>
  <c r="AA143" i="7" a="1"/>
  <c r="AA143" i="7"/>
  <c r="AA144" i="7" a="1"/>
  <c r="AA144" i="7"/>
  <c r="AA145" i="7" a="1"/>
  <c r="AA145" i="7"/>
  <c r="AA146" i="7" a="1"/>
  <c r="AA146" i="7" s="1"/>
  <c r="AA147" i="7" a="1"/>
  <c r="AA147" i="7" s="1"/>
  <c r="AA148" i="7" a="1"/>
  <c r="AA148" i="7" s="1"/>
  <c r="AA149" i="7" a="1"/>
  <c r="AA149" i="7" s="1"/>
  <c r="AA150" i="7" a="1"/>
  <c r="AA150" i="7" s="1"/>
  <c r="AA151" i="7" a="1"/>
  <c r="AA151" i="7"/>
  <c r="AA152" i="7" a="1"/>
  <c r="AA152" i="7"/>
  <c r="AA153" i="7" a="1"/>
  <c r="AA153" i="7"/>
  <c r="AA154" i="7" a="1"/>
  <c r="AA154" i="7" s="1"/>
  <c r="AA155" i="7" a="1"/>
  <c r="AA155" i="7" s="1"/>
  <c r="AA156" i="7" a="1"/>
  <c r="AA156" i="7" s="1"/>
  <c r="AA157" i="7" a="1"/>
  <c r="AA157" i="7" s="1"/>
  <c r="AA158" i="7" a="1"/>
  <c r="AA158" i="7" s="1"/>
  <c r="AA159" i="7" a="1"/>
  <c r="AA159" i="7"/>
  <c r="AA160" i="7" a="1"/>
  <c r="AA160" i="7"/>
  <c r="AA161" i="7" a="1"/>
  <c r="AA161" i="7"/>
  <c r="AA162" i="7" a="1"/>
  <c r="AA162" i="7" s="1"/>
  <c r="AA163" i="7" a="1"/>
  <c r="AA163" i="7" s="1"/>
  <c r="AA164" i="7" a="1"/>
  <c r="AA164" i="7" s="1"/>
  <c r="AA165" i="7" a="1"/>
  <c r="AA165" i="7" s="1"/>
  <c r="AA166" i="7" a="1"/>
  <c r="AA166" i="7" s="1"/>
  <c r="AA167" i="7" a="1"/>
  <c r="AA167" i="7"/>
  <c r="AA168" i="7" a="1"/>
  <c r="AA168" i="7"/>
  <c r="AA169" i="7" a="1"/>
  <c r="AA169" i="7"/>
  <c r="AA170" i="7" a="1"/>
  <c r="AA170" i="7" s="1"/>
  <c r="AA171" i="7" a="1"/>
  <c r="AA171" i="7" s="1"/>
  <c r="AA172" i="7" a="1"/>
  <c r="AA172" i="7" s="1"/>
  <c r="AA173" i="7" a="1"/>
  <c r="AA173" i="7" s="1"/>
  <c r="AA174" i="7" a="1"/>
  <c r="AA174" i="7" s="1"/>
  <c r="AA175" i="7" a="1"/>
  <c r="AA175" i="7"/>
  <c r="AA176" i="7" a="1"/>
  <c r="AA176" i="7"/>
  <c r="AA177" i="7" a="1"/>
  <c r="AA177" i="7"/>
  <c r="AA178" i="7" a="1"/>
  <c r="AA178" i="7" s="1"/>
  <c r="AA179" i="7" a="1"/>
  <c r="AA179" i="7" s="1"/>
  <c r="AA180" i="7" a="1"/>
  <c r="AA180" i="7" s="1"/>
  <c r="AA181" i="7" a="1"/>
  <c r="AA181" i="7" s="1"/>
  <c r="AA182" i="7" a="1"/>
  <c r="AA182" i="7" s="1"/>
  <c r="AA183" i="7" a="1"/>
  <c r="AA183" i="7"/>
  <c r="AA184" i="7" a="1"/>
  <c r="AA184" i="7"/>
  <c r="AA185" i="7" a="1"/>
  <c r="AA185" i="7"/>
  <c r="AA186" i="7" a="1"/>
  <c r="AA186" i="7" s="1"/>
  <c r="AA187" i="7" a="1"/>
  <c r="AA187" i="7" s="1"/>
  <c r="AA188" i="7" a="1"/>
  <c r="AA188" i="7" s="1"/>
  <c r="AA189" i="7" a="1"/>
  <c r="AA189" i="7" s="1"/>
  <c r="AA190" i="7" a="1"/>
  <c r="AA190" i="7" s="1"/>
  <c r="AA191" i="7" a="1"/>
  <c r="AA191" i="7"/>
  <c r="AA192" i="7" a="1"/>
  <c r="AA192" i="7"/>
  <c r="AA193" i="7" a="1"/>
  <c r="AA193" i="7"/>
  <c r="AA194" i="7" a="1"/>
  <c r="AA194" i="7" s="1"/>
  <c r="AA195" i="7" a="1"/>
  <c r="AA195" i="7" s="1"/>
  <c r="AA196" i="7" a="1"/>
  <c r="AA196" i="7" s="1"/>
  <c r="AA197" i="7" a="1"/>
  <c r="AA197" i="7" s="1"/>
  <c r="AA198" i="7" a="1"/>
  <c r="AA198" i="7" s="1"/>
  <c r="AA199" i="7" a="1"/>
  <c r="AA199" i="7"/>
  <c r="AA200" i="7" a="1"/>
  <c r="AA200" i="7"/>
  <c r="AA201" i="7" a="1"/>
  <c r="AA201" i="7"/>
  <c r="AA202" i="7" a="1"/>
  <c r="AA202" i="7" s="1"/>
  <c r="AA203" i="7" a="1"/>
  <c r="AA203" i="7" s="1"/>
  <c r="AA204" i="7" a="1"/>
  <c r="AA204" i="7" s="1"/>
  <c r="AA205" i="7" a="1"/>
  <c r="AA205" i="7" s="1"/>
  <c r="AA206" i="7" a="1"/>
  <c r="AA206" i="7" s="1"/>
  <c r="AA207" i="7" a="1"/>
  <c r="AA207" i="7"/>
  <c r="AA208" i="7" a="1"/>
  <c r="AA208" i="7"/>
  <c r="AA209" i="7" a="1"/>
  <c r="AA209" i="7"/>
  <c r="AA210" i="7" a="1"/>
  <c r="AA210" i="7" s="1"/>
  <c r="AA211" i="7" a="1"/>
  <c r="AA211" i="7" s="1"/>
  <c r="AA212" i="7" a="1"/>
  <c r="AA212" i="7" s="1"/>
  <c r="AA213" i="7" a="1"/>
  <c r="AA213" i="7" s="1"/>
  <c r="AA214" i="7" a="1"/>
  <c r="AA214" i="7" s="1"/>
  <c r="AA215" i="7" a="1"/>
  <c r="AA215" i="7" s="1"/>
  <c r="AA216" i="7" a="1"/>
  <c r="AA216" i="7"/>
  <c r="AA217" i="7" a="1"/>
  <c r="AA217" i="7"/>
  <c r="AA218" i="7" a="1"/>
  <c r="AA218" i="7" s="1"/>
  <c r="AA219" i="7" a="1"/>
  <c r="AA219" i="7" s="1"/>
  <c r="AA220" i="7" a="1"/>
  <c r="AA220" i="7" s="1"/>
  <c r="AA221" i="7" a="1"/>
  <c r="AA221" i="7" s="1"/>
  <c r="AA222" i="7" a="1"/>
  <c r="AA222" i="7" s="1"/>
  <c r="AA223" i="7" a="1"/>
  <c r="AA223" i="7"/>
  <c r="AA224" i="7" a="1"/>
  <c r="AA224" i="7"/>
  <c r="AA225" i="7" a="1"/>
  <c r="AA225" i="7"/>
  <c r="AA226" i="7" a="1"/>
  <c r="AA226" i="7" s="1"/>
  <c r="AA227" i="7" a="1"/>
  <c r="AA227" i="7" s="1"/>
  <c r="AA228" i="7" a="1"/>
  <c r="AA228" i="7" s="1"/>
  <c r="AA229" i="7" a="1"/>
  <c r="AA229" i="7" s="1"/>
  <c r="AA230" i="7" a="1"/>
  <c r="AA230" i="7" s="1"/>
  <c r="AA231" i="7" a="1"/>
  <c r="AA231" i="7"/>
  <c r="AA232" i="7" a="1"/>
  <c r="AA232" i="7"/>
  <c r="AA233" i="7" a="1"/>
  <c r="AA233" i="7"/>
  <c r="AA234" i="7" a="1"/>
  <c r="AA234" i="7" s="1"/>
  <c r="AA235" i="7" a="1"/>
  <c r="AA235" i="7" s="1"/>
  <c r="AA236" i="7" a="1"/>
  <c r="AA236" i="7" s="1"/>
  <c r="AA237" i="7" a="1"/>
  <c r="AA237" i="7" s="1"/>
  <c r="AA238" i="7" a="1"/>
  <c r="AA238" i="7" s="1"/>
  <c r="AA239" i="7" a="1"/>
  <c r="AA239" i="7"/>
  <c r="AA240" i="7" a="1"/>
  <c r="AA240" i="7"/>
  <c r="AA241" i="7" a="1"/>
  <c r="AA241" i="7"/>
  <c r="AA242" i="7" a="1"/>
  <c r="AA242" i="7" s="1"/>
  <c r="AA243" i="7" a="1"/>
  <c r="AA243" i="7" s="1"/>
  <c r="AA244" i="7" a="1"/>
  <c r="AA244" i="7" s="1"/>
  <c r="AA245" i="7" a="1"/>
  <c r="AA245" i="7" s="1"/>
  <c r="AA246" i="7" a="1"/>
  <c r="AA246" i="7" s="1"/>
  <c r="AA247" i="7" a="1"/>
  <c r="AA247" i="7"/>
  <c r="AA248" i="7" a="1"/>
  <c r="AA248" i="7"/>
  <c r="AA249" i="7" a="1"/>
  <c r="AA249" i="7"/>
  <c r="AA250" i="7" a="1"/>
  <c r="AA250" i="7" s="1"/>
  <c r="AA251" i="7" a="1"/>
  <c r="AA251" i="7" s="1"/>
  <c r="AA252" i="7" a="1"/>
  <c r="AA252" i="7" s="1"/>
  <c r="AA253" i="7" a="1"/>
  <c r="AA253" i="7" s="1"/>
  <c r="AA254" i="7" a="1"/>
  <c r="AA254" i="7" s="1"/>
  <c r="AA255" i="7" a="1"/>
  <c r="AA255" i="7"/>
  <c r="AA256" i="7" a="1"/>
  <c r="AA256" i="7"/>
  <c r="AA257" i="7" a="1"/>
  <c r="AA257" i="7"/>
  <c r="AA258" i="7" a="1"/>
  <c r="AA258" i="7" s="1"/>
  <c r="AA259" i="7" a="1"/>
  <c r="AA259" i="7" s="1"/>
  <c r="AA260" i="7" a="1"/>
  <c r="AA260" i="7" s="1"/>
  <c r="AA261" i="7" a="1"/>
  <c r="AA261" i="7" s="1"/>
  <c r="AA262" i="7" a="1"/>
  <c r="AA262" i="7" s="1"/>
  <c r="AA263" i="7" a="1"/>
  <c r="AA263" i="7"/>
  <c r="AA264" i="7" a="1"/>
  <c r="AA264" i="7"/>
  <c r="AA265" i="7" a="1"/>
  <c r="AA265" i="7"/>
  <c r="AA266" i="7" a="1"/>
  <c r="AA266" i="7" s="1"/>
  <c r="AA267" i="7" a="1"/>
  <c r="AA267" i="7" s="1"/>
  <c r="AA268" i="7" a="1"/>
  <c r="AA268" i="7" s="1"/>
  <c r="AA269" i="7" a="1"/>
  <c r="AA269" i="7" s="1"/>
  <c r="AA270" i="7" a="1"/>
  <c r="AA270" i="7" s="1"/>
  <c r="AA271" i="7" a="1"/>
  <c r="AA271" i="7"/>
  <c r="AA272" i="7" a="1"/>
  <c r="AA272" i="7"/>
  <c r="AA273" i="7" a="1"/>
  <c r="AA273" i="7"/>
  <c r="AA274" i="7" a="1"/>
  <c r="AA274" i="7" s="1"/>
  <c r="AA275" i="7" a="1"/>
  <c r="AA275" i="7" s="1"/>
  <c r="AA276" i="7" a="1"/>
  <c r="AA276" i="7" s="1"/>
  <c r="AA277" i="7" a="1"/>
  <c r="AA277" i="7" s="1"/>
  <c r="AA278" i="7" a="1"/>
  <c r="AA278" i="7" s="1"/>
  <c r="AA279" i="7" a="1"/>
  <c r="AA279" i="7"/>
  <c r="AA280" i="7" a="1"/>
  <c r="AA280" i="7"/>
  <c r="AA281" i="7" a="1"/>
  <c r="AA281" i="7"/>
  <c r="AA282" i="7" a="1"/>
  <c r="AA282" i="7" s="1"/>
  <c r="AA283" i="7" a="1"/>
  <c r="AA283" i="7" s="1"/>
  <c r="AA284" i="7" a="1"/>
  <c r="AA284" i="7" s="1"/>
  <c r="AA285" i="7" a="1"/>
  <c r="AA285" i="7" s="1"/>
  <c r="AA286" i="7" a="1"/>
  <c r="AA286" i="7" s="1"/>
  <c r="AA287" i="7" a="1"/>
  <c r="AA287" i="7"/>
  <c r="AA288" i="7" a="1"/>
  <c r="AA288" i="7"/>
  <c r="AA289" i="7" a="1"/>
  <c r="AA289" i="7"/>
  <c r="AA290" i="7" a="1"/>
  <c r="AA290" i="7" s="1"/>
  <c r="AA291" i="7" a="1"/>
  <c r="AA291" i="7" s="1"/>
  <c r="AA292" i="7" a="1"/>
  <c r="AA292" i="7" s="1"/>
  <c r="AA293" i="7" a="1"/>
  <c r="AA293" i="7" s="1"/>
  <c r="AA294" i="7" a="1"/>
  <c r="AA294" i="7" s="1"/>
  <c r="AA295" i="7" a="1"/>
  <c r="AA295" i="7" s="1"/>
  <c r="AA296" i="7" a="1"/>
  <c r="AA296" i="7"/>
  <c r="AA297" i="7" a="1"/>
  <c r="AA297" i="7"/>
  <c r="AA298" i="7" a="1"/>
  <c r="AA298" i="7" s="1"/>
  <c r="AA299" i="7" a="1"/>
  <c r="AA299" i="7" s="1"/>
  <c r="AA300" i="7" a="1"/>
  <c r="AA300" i="7" s="1"/>
  <c r="AA301" i="7" a="1"/>
  <c r="AA301" i="7" s="1"/>
  <c r="AA302" i="7" a="1"/>
  <c r="AA302" i="7" s="1"/>
  <c r="AA303" i="7" a="1"/>
  <c r="AA303" i="7" s="1"/>
  <c r="AA304" i="7" a="1"/>
  <c r="AA304" i="7"/>
  <c r="AA305" i="7" a="1"/>
  <c r="AA305" i="7"/>
  <c r="AA306" i="7" a="1"/>
  <c r="AA306" i="7" s="1"/>
  <c r="AA307" i="7" a="1"/>
  <c r="AA307" i="7" s="1"/>
  <c r="AA308" i="7" a="1"/>
  <c r="AA308" i="7" s="1"/>
  <c r="AA309" i="7" a="1"/>
  <c r="AA309" i="7" s="1"/>
  <c r="AA310" i="7" a="1"/>
  <c r="AA310" i="7" s="1"/>
  <c r="AA311" i="7" a="1"/>
  <c r="AA311" i="7" s="1"/>
  <c r="AA312" i="7" a="1"/>
  <c r="AA312" i="7"/>
  <c r="AA313" i="7" a="1"/>
  <c r="AA313" i="7"/>
  <c r="AA314" i="7" a="1"/>
  <c r="AA314" i="7" s="1"/>
  <c r="AA315" i="7" a="1"/>
  <c r="AA315" i="7" s="1"/>
  <c r="AA316" i="7" a="1"/>
  <c r="AA316" i="7" s="1"/>
  <c r="AA317" i="7" a="1"/>
  <c r="AA317" i="7" s="1"/>
  <c r="AA318" i="7" a="1"/>
  <c r="AA318" i="7" s="1"/>
  <c r="AA319" i="7" a="1"/>
  <c r="AA319" i="7" s="1"/>
  <c r="AA320" i="7" a="1"/>
  <c r="AA320" i="7"/>
  <c r="AA321" i="7" a="1"/>
  <c r="AA321" i="7"/>
  <c r="AA322" i="7" a="1"/>
  <c r="AA322" i="7" s="1"/>
  <c r="AA323" i="7" a="1"/>
  <c r="AA323" i="7" s="1"/>
  <c r="AA324" i="7" a="1"/>
  <c r="AA324" i="7" s="1"/>
  <c r="AA325" i="7" a="1"/>
  <c r="AA325" i="7" s="1"/>
  <c r="AA326" i="7" a="1"/>
  <c r="AA326" i="7" s="1"/>
  <c r="AA327" i="7" a="1"/>
  <c r="AA327" i="7" s="1"/>
  <c r="AA328" i="7" a="1"/>
  <c r="AA328" i="7"/>
  <c r="AA329" i="7" a="1"/>
  <c r="AA329" i="7"/>
  <c r="AA330" i="7" a="1"/>
  <c r="AA330" i="7" s="1"/>
  <c r="AA331" i="7" a="1"/>
  <c r="AA331" i="7" s="1"/>
  <c r="AA332" i="7" a="1"/>
  <c r="AA332" i="7" s="1"/>
  <c r="AA333" i="7" a="1"/>
  <c r="AA333" i="7" s="1"/>
  <c r="AA334" i="7" a="1"/>
  <c r="AA334" i="7" s="1"/>
  <c r="AA335" i="7" a="1"/>
  <c r="AA335" i="7" s="1"/>
  <c r="AA336" i="7" a="1"/>
  <c r="AA336" i="7"/>
  <c r="AA337" i="7" a="1"/>
  <c r="AA337" i="7"/>
  <c r="AA338" i="7" a="1"/>
  <c r="AA338" i="7" s="1"/>
  <c r="AA339" i="7" a="1"/>
  <c r="AA339" i="7" s="1"/>
  <c r="AA340" i="7" a="1"/>
  <c r="AA340" i="7" s="1"/>
  <c r="AA341" i="7" a="1"/>
  <c r="AA341" i="7" s="1"/>
  <c r="AA342" i="7" a="1"/>
  <c r="AA342" i="7" s="1"/>
  <c r="AA343" i="7" a="1"/>
  <c r="AA343" i="7" s="1"/>
  <c r="AA344" i="7" a="1"/>
  <c r="AA344" i="7"/>
  <c r="AA345" i="7" a="1"/>
  <c r="AA345" i="7"/>
  <c r="AA346" i="7" a="1"/>
  <c r="AA346" i="7" s="1"/>
  <c r="AA347" i="7" a="1"/>
  <c r="AA347" i="7" s="1"/>
  <c r="AA348" i="7" a="1"/>
  <c r="AA348" i="7" s="1"/>
  <c r="AA349" i="7" a="1"/>
  <c r="AA349" i="7" s="1"/>
  <c r="AA350" i="7" a="1"/>
  <c r="AA350" i="7" s="1"/>
  <c r="AA351" i="7" a="1"/>
  <c r="AA351" i="7" s="1"/>
  <c r="AA352" i="7" a="1"/>
  <c r="AA352" i="7"/>
  <c r="AA353" i="7" a="1"/>
  <c r="AA353" i="7"/>
  <c r="AA354" i="7" a="1"/>
  <c r="AA354" i="7" s="1"/>
  <c r="AA355" i="7" a="1"/>
  <c r="AA355" i="7" s="1"/>
  <c r="AA356" i="7" a="1"/>
  <c r="AA356" i="7" s="1"/>
  <c r="AA357" i="7" a="1"/>
  <c r="AA357" i="7" s="1"/>
  <c r="AA358" i="7" a="1"/>
  <c r="AA358" i="7" s="1"/>
  <c r="AA359" i="7" a="1"/>
  <c r="AA359" i="7" s="1"/>
  <c r="AA360" i="7" a="1"/>
  <c r="AA360" i="7"/>
  <c r="AA361" i="7" a="1"/>
  <c r="AA361" i="7"/>
  <c r="Z3" i="7"/>
  <c r="Y2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7" i="7"/>
  <c r="Y248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Y276" i="7"/>
  <c r="Y277" i="7"/>
  <c r="Y278" i="7"/>
  <c r="Y279" i="7"/>
  <c r="Y280" i="7"/>
  <c r="Y281" i="7"/>
  <c r="Y282" i="7"/>
  <c r="Y283" i="7"/>
  <c r="Y284" i="7"/>
  <c r="Y285" i="7"/>
  <c r="Y286" i="7"/>
  <c r="Y287" i="7"/>
  <c r="Y288" i="7"/>
  <c r="Y289" i="7"/>
  <c r="Y290" i="7"/>
  <c r="Y291" i="7"/>
  <c r="Y292" i="7"/>
  <c r="Y293" i="7"/>
  <c r="Y294" i="7"/>
  <c r="Y295" i="7"/>
  <c r="Y296" i="7"/>
  <c r="Y297" i="7"/>
  <c r="Y298" i="7"/>
  <c r="Y299" i="7"/>
  <c r="Y300" i="7"/>
  <c r="Y301" i="7"/>
  <c r="Y302" i="7"/>
  <c r="Y303" i="7"/>
  <c r="Y304" i="7"/>
  <c r="Y305" i="7"/>
  <c r="Y306" i="7"/>
  <c r="Y307" i="7"/>
  <c r="Y308" i="7"/>
  <c r="Y309" i="7"/>
  <c r="Y310" i="7"/>
  <c r="Y311" i="7"/>
  <c r="Y312" i="7"/>
  <c r="Y313" i="7"/>
  <c r="Y314" i="7"/>
  <c r="Y315" i="7"/>
  <c r="Y316" i="7"/>
  <c r="Y317" i="7"/>
  <c r="Y318" i="7"/>
  <c r="Y319" i="7"/>
  <c r="Y320" i="7"/>
  <c r="Y321" i="7"/>
  <c r="Y322" i="7"/>
  <c r="Y323" i="7"/>
  <c r="Y324" i="7"/>
  <c r="Y325" i="7"/>
  <c r="Y326" i="7"/>
  <c r="Y327" i="7"/>
  <c r="Y328" i="7"/>
  <c r="Y329" i="7"/>
  <c r="Y330" i="7"/>
  <c r="Y331" i="7"/>
  <c r="Y332" i="7"/>
  <c r="Y333" i="7"/>
  <c r="Y334" i="7"/>
  <c r="Y335" i="7"/>
  <c r="Y336" i="7"/>
  <c r="Y337" i="7"/>
  <c r="Y338" i="7"/>
  <c r="Y339" i="7"/>
  <c r="Y340" i="7"/>
  <c r="Y341" i="7"/>
  <c r="Y342" i="7"/>
  <c r="Y343" i="7"/>
  <c r="Y344" i="7"/>
  <c r="Y345" i="7"/>
  <c r="Y346" i="7"/>
  <c r="Y347" i="7"/>
  <c r="Y348" i="7"/>
  <c r="Y349" i="7"/>
  <c r="Y350" i="7"/>
  <c r="Y351" i="7"/>
  <c r="Y352" i="7"/>
  <c r="Y353" i="7"/>
  <c r="Y354" i="7"/>
  <c r="Y355" i="7"/>
  <c r="Y356" i="7"/>
  <c r="Y357" i="7"/>
  <c r="Y358" i="7"/>
  <c r="Y359" i="7"/>
  <c r="Y360" i="7"/>
  <c r="Y361" i="7"/>
  <c r="R2" i="7" a="1"/>
  <c r="R2" i="7" s="1"/>
  <c r="V2" i="7" s="1"/>
  <c r="R3" i="7" a="1"/>
  <c r="R3" i="7" s="1"/>
  <c r="V3" i="7" s="1"/>
  <c r="R4" i="7" a="1"/>
  <c r="R4" i="7" s="1"/>
  <c r="V4" i="7" s="1"/>
  <c r="R5" i="7" a="1"/>
  <c r="R5" i="7" s="1"/>
  <c r="V5" i="7" s="1"/>
  <c r="R6" i="7" a="1"/>
  <c r="R6" i="7" s="1"/>
  <c r="V6" i="7" s="1"/>
  <c r="R7" i="7" a="1"/>
  <c r="R7" i="7" s="1"/>
  <c r="V7" i="7" s="1"/>
  <c r="R8" i="7" a="1"/>
  <c r="R8" i="7" s="1"/>
  <c r="V8" i="7" s="1"/>
  <c r="R9" i="7" a="1"/>
  <c r="R9" i="7" s="1"/>
  <c r="V9" i="7" s="1"/>
  <c r="R10" i="7" a="1"/>
  <c r="R10" i="7" s="1"/>
  <c r="V10" i="7" s="1"/>
  <c r="R11" i="7" a="1"/>
  <c r="R11" i="7" s="1"/>
  <c r="V11" i="7" s="1"/>
  <c r="R12" i="7" a="1"/>
  <c r="R12" i="7" s="1"/>
  <c r="V12" i="7" s="1"/>
  <c r="R13" i="7" a="1"/>
  <c r="R13" i="7" s="1"/>
  <c r="V13" i="7" s="1"/>
  <c r="R14" i="7" a="1"/>
  <c r="R14" i="7" s="1"/>
  <c r="V14" i="7" s="1"/>
  <c r="R15" i="7" a="1"/>
  <c r="R15" i="7" s="1"/>
  <c r="V15" i="7" s="1"/>
  <c r="R16" i="7" a="1"/>
  <c r="R16" i="7" s="1"/>
  <c r="V16" i="7" s="1"/>
  <c r="R17" i="7" a="1"/>
  <c r="R17" i="7" s="1"/>
  <c r="V17" i="7" s="1"/>
  <c r="R18" i="7" a="1"/>
  <c r="R18" i="7" s="1"/>
  <c r="V18" i="7" s="1"/>
  <c r="R19" i="7" a="1"/>
  <c r="R19" i="7" s="1"/>
  <c r="V19" i="7" s="1"/>
  <c r="R20" i="7" a="1"/>
  <c r="R20" i="7" s="1"/>
  <c r="V20" i="7" s="1"/>
  <c r="R21" i="7" a="1"/>
  <c r="R21" i="7" s="1"/>
  <c r="V21" i="7" s="1"/>
  <c r="R22" i="7" a="1"/>
  <c r="R22" i="7" s="1"/>
  <c r="V22" i="7" s="1"/>
  <c r="R23" i="7" a="1"/>
  <c r="R23" i="7" s="1"/>
  <c r="V23" i="7" s="1"/>
  <c r="R24" i="7" a="1"/>
  <c r="R24" i="7" s="1"/>
  <c r="V24" i="7" s="1"/>
  <c r="R25" i="7" a="1"/>
  <c r="R25" i="7" s="1"/>
  <c r="V25" i="7" s="1"/>
  <c r="R26" i="7" a="1"/>
  <c r="R26" i="7" s="1"/>
  <c r="V26" i="7" s="1"/>
  <c r="R27" i="7" a="1"/>
  <c r="R27" i="7" s="1"/>
  <c r="V27" i="7" s="1"/>
  <c r="R28" i="7" a="1"/>
  <c r="R28" i="7" s="1"/>
  <c r="V28" i="7" s="1"/>
  <c r="R29" i="7" a="1"/>
  <c r="R29" i="7" s="1"/>
  <c r="V29" i="7" s="1"/>
  <c r="R30" i="7" a="1"/>
  <c r="R30" i="7" s="1"/>
  <c r="V30" i="7" s="1"/>
  <c r="R31" i="7" a="1"/>
  <c r="R31" i="7" s="1"/>
  <c r="V31" i="7" s="1"/>
  <c r="R32" i="7" a="1"/>
  <c r="R32" i="7" s="1"/>
  <c r="V32" i="7" s="1"/>
  <c r="R33" i="7" a="1"/>
  <c r="R33" i="7" s="1"/>
  <c r="V33" i="7" s="1"/>
  <c r="R34" i="7" a="1"/>
  <c r="R34" i="7" s="1"/>
  <c r="V34" i="7" s="1"/>
  <c r="R35" i="7" a="1"/>
  <c r="R35" i="7" s="1"/>
  <c r="V35" i="7" s="1"/>
  <c r="R36" i="7" a="1"/>
  <c r="R36" i="7" s="1"/>
  <c r="V36" i="7" s="1"/>
  <c r="R37" i="7" a="1"/>
  <c r="R37" i="7" s="1"/>
  <c r="V37" i="7" s="1"/>
  <c r="R38" i="7" a="1"/>
  <c r="R38" i="7" s="1"/>
  <c r="V38" i="7" s="1"/>
  <c r="R39" i="7" a="1"/>
  <c r="R39" i="7" s="1"/>
  <c r="V39" i="7" s="1"/>
  <c r="R40" i="7" a="1"/>
  <c r="R40" i="7" s="1"/>
  <c r="V40" i="7" s="1"/>
  <c r="R41" i="7" a="1"/>
  <c r="R41" i="7" s="1"/>
  <c r="V41" i="7" s="1"/>
  <c r="R42" i="7" a="1"/>
  <c r="R42" i="7" s="1"/>
  <c r="V42" i="7" s="1"/>
  <c r="R43" i="7" a="1"/>
  <c r="R43" i="7" s="1"/>
  <c r="V43" i="7" s="1"/>
  <c r="R44" i="7" a="1"/>
  <c r="R44" i="7" s="1"/>
  <c r="V44" i="7" s="1"/>
  <c r="R45" i="7" a="1"/>
  <c r="R45" i="7" s="1"/>
  <c r="V45" i="7" s="1"/>
  <c r="R46" i="7" a="1"/>
  <c r="R46" i="7" s="1"/>
  <c r="V46" i="7" s="1"/>
  <c r="R47" i="7" a="1"/>
  <c r="R47" i="7" s="1"/>
  <c r="V47" i="7" s="1"/>
  <c r="R48" i="7" a="1"/>
  <c r="R48" i="7" s="1"/>
  <c r="V48" i="7" s="1"/>
  <c r="R49" i="7" a="1"/>
  <c r="R49" i="7" s="1"/>
  <c r="V49" i="7" s="1"/>
  <c r="R50" i="7" a="1"/>
  <c r="R50" i="7" s="1"/>
  <c r="V50" i="7" s="1"/>
  <c r="R51" i="7" a="1"/>
  <c r="R51" i="7" s="1"/>
  <c r="V51" i="7" s="1"/>
  <c r="R52" i="7" a="1"/>
  <c r="R52" i="7" s="1"/>
  <c r="V52" i="7" s="1"/>
  <c r="R53" i="7" a="1"/>
  <c r="R53" i="7" s="1"/>
  <c r="V53" i="7" s="1"/>
  <c r="R54" i="7" a="1"/>
  <c r="R54" i="7" s="1"/>
  <c r="V54" i="7" s="1"/>
  <c r="R55" i="7" a="1"/>
  <c r="R55" i="7" s="1"/>
  <c r="V55" i="7" s="1"/>
  <c r="R56" i="7" a="1"/>
  <c r="R56" i="7" s="1"/>
  <c r="V56" i="7" s="1"/>
  <c r="R57" i="7" a="1"/>
  <c r="R57" i="7" s="1"/>
  <c r="V57" i="7" s="1"/>
  <c r="R58" i="7" a="1"/>
  <c r="R58" i="7" s="1"/>
  <c r="V58" i="7" s="1"/>
  <c r="R59" i="7" a="1"/>
  <c r="R59" i="7" s="1"/>
  <c r="V59" i="7" s="1"/>
  <c r="R60" i="7" a="1"/>
  <c r="R60" i="7" s="1"/>
  <c r="V60" i="7" s="1"/>
  <c r="R61" i="7" a="1"/>
  <c r="R61" i="7" s="1"/>
  <c r="V61" i="7" s="1"/>
  <c r="R62" i="7" a="1"/>
  <c r="R62" i="7" s="1"/>
  <c r="V62" i="7" s="1"/>
  <c r="R63" i="7" a="1"/>
  <c r="R63" i="7" s="1"/>
  <c r="V63" i="7" s="1"/>
  <c r="R64" i="7" a="1"/>
  <c r="R64" i="7" s="1"/>
  <c r="V64" i="7" s="1"/>
  <c r="R65" i="7" a="1"/>
  <c r="R65" i="7" s="1"/>
  <c r="V65" i="7" s="1"/>
  <c r="R66" i="7" a="1"/>
  <c r="R66" i="7" s="1"/>
  <c r="V66" i="7" s="1"/>
  <c r="R67" i="7" a="1"/>
  <c r="R67" i="7" s="1"/>
  <c r="V67" i="7" s="1"/>
  <c r="R68" i="7" a="1"/>
  <c r="R68" i="7" s="1"/>
  <c r="V68" i="7" s="1"/>
  <c r="R69" i="7" a="1"/>
  <c r="R69" i="7" s="1"/>
  <c r="V69" i="7" s="1"/>
  <c r="R70" i="7" a="1"/>
  <c r="R70" i="7" s="1"/>
  <c r="V70" i="7" s="1"/>
  <c r="R71" i="7" a="1"/>
  <c r="R71" i="7" s="1"/>
  <c r="V71" i="7" s="1"/>
  <c r="R72" i="7" a="1"/>
  <c r="R72" i="7" s="1"/>
  <c r="V72" i="7" s="1"/>
  <c r="R73" i="7" a="1"/>
  <c r="R73" i="7" s="1"/>
  <c r="V73" i="7" s="1"/>
  <c r="R74" i="7" a="1"/>
  <c r="R74" i="7" s="1"/>
  <c r="V74" i="7" s="1"/>
  <c r="R75" i="7" a="1"/>
  <c r="R75" i="7" s="1"/>
  <c r="V75" i="7" s="1"/>
  <c r="R76" i="7" a="1"/>
  <c r="R76" i="7" s="1"/>
  <c r="V76" i="7" s="1"/>
  <c r="R77" i="7" a="1"/>
  <c r="R77" i="7" s="1"/>
  <c r="V77" i="7" s="1"/>
  <c r="R78" i="7" a="1"/>
  <c r="R78" i="7" s="1"/>
  <c r="V78" i="7" s="1"/>
  <c r="R79" i="7" a="1"/>
  <c r="R79" i="7" s="1"/>
  <c r="V79" i="7" s="1"/>
  <c r="R80" i="7" a="1"/>
  <c r="R80" i="7" s="1"/>
  <c r="V80" i="7" s="1"/>
  <c r="R81" i="7" a="1"/>
  <c r="R81" i="7" s="1"/>
  <c r="V81" i="7" s="1"/>
  <c r="R82" i="7" a="1"/>
  <c r="R82" i="7" s="1"/>
  <c r="V82" i="7" s="1"/>
  <c r="R83" i="7" a="1"/>
  <c r="R83" i="7" s="1"/>
  <c r="V83" i="7" s="1"/>
  <c r="R84" i="7" a="1"/>
  <c r="R84" i="7" s="1"/>
  <c r="V84" i="7" s="1"/>
  <c r="R85" i="7" a="1"/>
  <c r="R85" i="7" s="1"/>
  <c r="V85" i="7" s="1"/>
  <c r="R86" i="7" a="1"/>
  <c r="R86" i="7" s="1"/>
  <c r="V86" i="7" s="1"/>
  <c r="R87" i="7" a="1"/>
  <c r="R87" i="7" s="1"/>
  <c r="V87" i="7" s="1"/>
  <c r="R88" i="7" a="1"/>
  <c r="R88" i="7" s="1"/>
  <c r="V88" i="7" s="1"/>
  <c r="R89" i="7" a="1"/>
  <c r="R89" i="7" s="1"/>
  <c r="V89" i="7" s="1"/>
  <c r="R90" i="7" a="1"/>
  <c r="R90" i="7" s="1"/>
  <c r="V90" i="7" s="1"/>
  <c r="R91" i="7" a="1"/>
  <c r="R91" i="7" s="1"/>
  <c r="V91" i="7" s="1"/>
  <c r="R92" i="7" a="1"/>
  <c r="R92" i="7" s="1"/>
  <c r="V92" i="7" s="1"/>
  <c r="R93" i="7" a="1"/>
  <c r="R93" i="7" s="1"/>
  <c r="V93" i="7" s="1"/>
  <c r="R94" i="7" a="1"/>
  <c r="R94" i="7" s="1"/>
  <c r="V94" i="7" s="1"/>
  <c r="R95" i="7" a="1"/>
  <c r="R95" i="7" s="1"/>
  <c r="V95" i="7" s="1"/>
  <c r="R96" i="7" a="1"/>
  <c r="R96" i="7" s="1"/>
  <c r="V96" i="7" s="1"/>
  <c r="R97" i="7" a="1"/>
  <c r="R97" i="7" s="1"/>
  <c r="V97" i="7" s="1"/>
  <c r="R98" i="7" a="1"/>
  <c r="R98" i="7" s="1"/>
  <c r="V98" i="7" s="1"/>
  <c r="R99" i="7" a="1"/>
  <c r="R99" i="7" s="1"/>
  <c r="V99" i="7" s="1"/>
  <c r="R100" i="7" a="1"/>
  <c r="R100" i="7" s="1"/>
  <c r="V100" i="7" s="1"/>
  <c r="R101" i="7" a="1"/>
  <c r="R101" i="7" s="1"/>
  <c r="V101" i="7" s="1"/>
  <c r="R102" i="7" a="1"/>
  <c r="R102" i="7" s="1"/>
  <c r="V102" i="7" s="1"/>
  <c r="R103" i="7" a="1"/>
  <c r="R103" i="7" s="1"/>
  <c r="V103" i="7" s="1"/>
  <c r="R104" i="7" a="1"/>
  <c r="R104" i="7" s="1"/>
  <c r="V104" i="7" s="1"/>
  <c r="R105" i="7" a="1"/>
  <c r="R105" i="7" s="1"/>
  <c r="V105" i="7" s="1"/>
  <c r="R106" i="7" a="1"/>
  <c r="R106" i="7" s="1"/>
  <c r="V106" i="7" s="1"/>
  <c r="R107" i="7" a="1"/>
  <c r="R107" i="7" s="1"/>
  <c r="V107" i="7" s="1"/>
  <c r="R108" i="7" a="1"/>
  <c r="R108" i="7" s="1"/>
  <c r="V108" i="7" s="1"/>
  <c r="R109" i="7" a="1"/>
  <c r="R109" i="7" s="1"/>
  <c r="V109" i="7" s="1"/>
  <c r="R110" i="7" a="1"/>
  <c r="R110" i="7" s="1"/>
  <c r="V110" i="7" s="1"/>
  <c r="R111" i="7" a="1"/>
  <c r="R111" i="7" s="1"/>
  <c r="V111" i="7" s="1"/>
  <c r="R112" i="7" a="1"/>
  <c r="R112" i="7" s="1"/>
  <c r="V112" i="7" s="1"/>
  <c r="R113" i="7" a="1"/>
  <c r="R113" i="7" s="1"/>
  <c r="V113" i="7" s="1"/>
  <c r="R114" i="7" a="1"/>
  <c r="R114" i="7" s="1"/>
  <c r="V114" i="7" s="1"/>
  <c r="R115" i="7" a="1"/>
  <c r="R115" i="7" s="1"/>
  <c r="V115" i="7" s="1"/>
  <c r="R116" i="7" a="1"/>
  <c r="R116" i="7" s="1"/>
  <c r="V116" i="7" s="1"/>
  <c r="R117" i="7" a="1"/>
  <c r="R117" i="7" s="1"/>
  <c r="V117" i="7" s="1"/>
  <c r="R118" i="7" a="1"/>
  <c r="R118" i="7" s="1"/>
  <c r="V118" i="7" s="1"/>
  <c r="R119" i="7" a="1"/>
  <c r="R119" i="7" s="1"/>
  <c r="V119" i="7" s="1"/>
  <c r="R120" i="7" a="1"/>
  <c r="R120" i="7" s="1"/>
  <c r="V120" i="7" s="1"/>
  <c r="R121" i="7" a="1"/>
  <c r="R121" i="7" s="1"/>
  <c r="V121" i="7" s="1"/>
  <c r="R122" i="7" a="1"/>
  <c r="R122" i="7" s="1"/>
  <c r="V122" i="7" s="1"/>
  <c r="R123" i="7" a="1"/>
  <c r="R123" i="7" s="1"/>
  <c r="V123" i="7" s="1"/>
  <c r="R124" i="7" a="1"/>
  <c r="R124" i="7" s="1"/>
  <c r="V124" i="7" s="1"/>
  <c r="R125" i="7" a="1"/>
  <c r="R125" i="7" s="1"/>
  <c r="V125" i="7" s="1"/>
  <c r="R126" i="7" a="1"/>
  <c r="R126" i="7" s="1"/>
  <c r="V126" i="7" s="1"/>
  <c r="R127" i="7" a="1"/>
  <c r="R127" i="7" s="1"/>
  <c r="V127" i="7" s="1"/>
  <c r="R128" i="7" a="1"/>
  <c r="R128" i="7" s="1"/>
  <c r="V128" i="7" s="1"/>
  <c r="R129" i="7" a="1"/>
  <c r="R129" i="7" s="1"/>
  <c r="V129" i="7" s="1"/>
  <c r="R130" i="7" a="1"/>
  <c r="R130" i="7" s="1"/>
  <c r="V130" i="7" s="1"/>
  <c r="R131" i="7" a="1"/>
  <c r="R131" i="7" s="1"/>
  <c r="V131" i="7" s="1"/>
  <c r="R132" i="7" a="1"/>
  <c r="R132" i="7" s="1"/>
  <c r="V132" i="7" s="1"/>
  <c r="R133" i="7" a="1"/>
  <c r="R133" i="7" s="1"/>
  <c r="V133" i="7" s="1"/>
  <c r="R134" i="7" a="1"/>
  <c r="R134" i="7" s="1"/>
  <c r="V134" i="7" s="1"/>
  <c r="R135" i="7" a="1"/>
  <c r="R135" i="7" s="1"/>
  <c r="V135" i="7" s="1"/>
  <c r="R136" i="7" a="1"/>
  <c r="R136" i="7" s="1"/>
  <c r="V136" i="7" s="1"/>
  <c r="R137" i="7" a="1"/>
  <c r="R137" i="7" s="1"/>
  <c r="V137" i="7" s="1"/>
  <c r="R138" i="7" a="1"/>
  <c r="R138" i="7" s="1"/>
  <c r="V138" i="7" s="1"/>
  <c r="R139" i="7" a="1"/>
  <c r="R139" i="7" s="1"/>
  <c r="V139" i="7" s="1"/>
  <c r="R140" i="7" a="1"/>
  <c r="R140" i="7" s="1"/>
  <c r="V140" i="7" s="1"/>
  <c r="R141" i="7" a="1"/>
  <c r="R141" i="7" s="1"/>
  <c r="V141" i="7" s="1"/>
  <c r="R142" i="7" a="1"/>
  <c r="R142" i="7" s="1"/>
  <c r="V142" i="7" s="1"/>
  <c r="R143" i="7" a="1"/>
  <c r="R143" i="7" s="1"/>
  <c r="V143" i="7" s="1"/>
  <c r="R144" i="7" a="1"/>
  <c r="R144" i="7" s="1"/>
  <c r="V144" i="7" s="1"/>
  <c r="R145" i="7" a="1"/>
  <c r="R145" i="7" s="1"/>
  <c r="V145" i="7" s="1"/>
  <c r="R146" i="7" a="1"/>
  <c r="R146" i="7" s="1"/>
  <c r="V146" i="7" s="1"/>
  <c r="R147" i="7" a="1"/>
  <c r="R147" i="7" s="1"/>
  <c r="V147" i="7" s="1"/>
  <c r="R148" i="7" a="1"/>
  <c r="R148" i="7" s="1"/>
  <c r="V148" i="7" s="1"/>
  <c r="R149" i="7" a="1"/>
  <c r="R149" i="7" s="1"/>
  <c r="V149" i="7" s="1"/>
  <c r="R150" i="7" a="1"/>
  <c r="R150" i="7" s="1"/>
  <c r="V150" i="7" s="1"/>
  <c r="R151" i="7" a="1"/>
  <c r="R151" i="7" s="1"/>
  <c r="V151" i="7" s="1"/>
  <c r="R152" i="7" a="1"/>
  <c r="R152" i="7" s="1"/>
  <c r="V152" i="7" s="1"/>
  <c r="R153" i="7" a="1"/>
  <c r="R153" i="7" s="1"/>
  <c r="V153" i="7" s="1"/>
  <c r="R154" i="7" a="1"/>
  <c r="R154" i="7" s="1"/>
  <c r="V154" i="7" s="1"/>
  <c r="R155" i="7" a="1"/>
  <c r="R155" i="7" s="1"/>
  <c r="V155" i="7" s="1"/>
  <c r="R156" i="7" a="1"/>
  <c r="R156" i="7" s="1"/>
  <c r="V156" i="7" s="1"/>
  <c r="R157" i="7" a="1"/>
  <c r="R157" i="7" s="1"/>
  <c r="V157" i="7" s="1"/>
  <c r="R158" i="7" a="1"/>
  <c r="R158" i="7" s="1"/>
  <c r="V158" i="7" s="1"/>
  <c r="R159" i="7" a="1"/>
  <c r="R159" i="7" s="1"/>
  <c r="V159" i="7" s="1"/>
  <c r="R160" i="7" a="1"/>
  <c r="R160" i="7" s="1"/>
  <c r="V160" i="7" s="1"/>
  <c r="R161" i="7" a="1"/>
  <c r="R161" i="7" s="1"/>
  <c r="V161" i="7" s="1"/>
  <c r="R162" i="7" a="1"/>
  <c r="R162" i="7" s="1"/>
  <c r="V162" i="7" s="1"/>
  <c r="R163" i="7" a="1"/>
  <c r="R163" i="7" s="1"/>
  <c r="V163" i="7" s="1"/>
  <c r="R164" i="7" a="1"/>
  <c r="R164" i="7" s="1"/>
  <c r="V164" i="7" s="1"/>
  <c r="R165" i="7" a="1"/>
  <c r="R165" i="7" s="1"/>
  <c r="V165" i="7" s="1"/>
  <c r="R166" i="7" a="1"/>
  <c r="R166" i="7" s="1"/>
  <c r="V166" i="7" s="1"/>
  <c r="R167" i="7" a="1"/>
  <c r="R167" i="7" s="1"/>
  <c r="V167" i="7" s="1"/>
  <c r="R168" i="7" a="1"/>
  <c r="R168" i="7" s="1"/>
  <c r="V168" i="7" s="1"/>
  <c r="R169" i="7" a="1"/>
  <c r="R169" i="7" s="1"/>
  <c r="V169" i="7" s="1"/>
  <c r="R170" i="7" a="1"/>
  <c r="R170" i="7" s="1"/>
  <c r="V170" i="7" s="1"/>
  <c r="R171" i="7" a="1"/>
  <c r="R171" i="7" s="1"/>
  <c r="V171" i="7" s="1"/>
  <c r="R172" i="7" a="1"/>
  <c r="R172" i="7" s="1"/>
  <c r="V172" i="7" s="1"/>
  <c r="R173" i="7" a="1"/>
  <c r="R173" i="7" s="1"/>
  <c r="V173" i="7" s="1"/>
  <c r="R174" i="7" a="1"/>
  <c r="R174" i="7" s="1"/>
  <c r="V174" i="7" s="1"/>
  <c r="R175" i="7" a="1"/>
  <c r="R175" i="7" s="1"/>
  <c r="V175" i="7" s="1"/>
  <c r="R176" i="7" a="1"/>
  <c r="R176" i="7" s="1"/>
  <c r="V176" i="7" s="1"/>
  <c r="R177" i="7" a="1"/>
  <c r="R177" i="7" s="1"/>
  <c r="V177" i="7" s="1"/>
  <c r="R178" i="7" a="1"/>
  <c r="R178" i="7" s="1"/>
  <c r="V178" i="7" s="1"/>
  <c r="R179" i="7" a="1"/>
  <c r="R179" i="7" s="1"/>
  <c r="V179" i="7" s="1"/>
  <c r="R180" i="7" a="1"/>
  <c r="R180" i="7" s="1"/>
  <c r="V180" i="7" s="1"/>
  <c r="R181" i="7" a="1"/>
  <c r="R181" i="7" s="1"/>
  <c r="V181" i="7" s="1"/>
  <c r="R182" i="7" a="1"/>
  <c r="R182" i="7" s="1"/>
  <c r="V182" i="7" s="1"/>
  <c r="R183" i="7" a="1"/>
  <c r="R183" i="7" s="1"/>
  <c r="V183" i="7" s="1"/>
  <c r="R184" i="7" a="1"/>
  <c r="R184" i="7" s="1"/>
  <c r="V184" i="7" s="1"/>
  <c r="R185" i="7" a="1"/>
  <c r="R185" i="7" s="1"/>
  <c r="V185" i="7" s="1"/>
  <c r="R186" i="7" a="1"/>
  <c r="R186" i="7" s="1"/>
  <c r="V186" i="7" s="1"/>
  <c r="R187" i="7" a="1"/>
  <c r="R187" i="7" s="1"/>
  <c r="V187" i="7" s="1"/>
  <c r="R188" i="7" a="1"/>
  <c r="R188" i="7" s="1"/>
  <c r="V188" i="7" s="1"/>
  <c r="R189" i="7" a="1"/>
  <c r="R189" i="7" s="1"/>
  <c r="V189" i="7" s="1"/>
  <c r="R190" i="7" a="1"/>
  <c r="R190" i="7" s="1"/>
  <c r="V190" i="7" s="1"/>
  <c r="R191" i="7" a="1"/>
  <c r="R191" i="7" s="1"/>
  <c r="V191" i="7" s="1"/>
  <c r="R192" i="7" a="1"/>
  <c r="R192" i="7" s="1"/>
  <c r="V192" i="7" s="1"/>
  <c r="R193" i="7" a="1"/>
  <c r="R193" i="7" s="1"/>
  <c r="V193" i="7" s="1"/>
  <c r="R194" i="7" a="1"/>
  <c r="R194" i="7" s="1"/>
  <c r="V194" i="7" s="1"/>
  <c r="R195" i="7" a="1"/>
  <c r="R195" i="7" s="1"/>
  <c r="V195" i="7" s="1"/>
  <c r="R196" i="7" a="1"/>
  <c r="R196" i="7" s="1"/>
  <c r="V196" i="7" s="1"/>
  <c r="R197" i="7" a="1"/>
  <c r="R197" i="7" s="1"/>
  <c r="V197" i="7" s="1"/>
  <c r="R198" i="7" a="1"/>
  <c r="R198" i="7" s="1"/>
  <c r="V198" i="7" s="1"/>
  <c r="R199" i="7" a="1"/>
  <c r="R199" i="7" s="1"/>
  <c r="V199" i="7" s="1"/>
  <c r="R200" i="7" a="1"/>
  <c r="R200" i="7" s="1"/>
  <c r="V200" i="7" s="1"/>
  <c r="R201" i="7" a="1"/>
  <c r="R201" i="7" s="1"/>
  <c r="V201" i="7" s="1"/>
  <c r="R202" i="7" a="1"/>
  <c r="R202" i="7" s="1"/>
  <c r="V202" i="7" s="1"/>
  <c r="R203" i="7" a="1"/>
  <c r="R203" i="7" s="1"/>
  <c r="V203" i="7" s="1"/>
  <c r="R204" i="7" a="1"/>
  <c r="R204" i="7" s="1"/>
  <c r="V204" i="7" s="1"/>
  <c r="R205" i="7" a="1"/>
  <c r="R205" i="7" s="1"/>
  <c r="V205" i="7" s="1"/>
  <c r="R206" i="7" a="1"/>
  <c r="R206" i="7" s="1"/>
  <c r="V206" i="7" s="1"/>
  <c r="R207" i="7" a="1"/>
  <c r="R207" i="7" s="1"/>
  <c r="V207" i="7" s="1"/>
  <c r="R208" i="7" a="1"/>
  <c r="R208" i="7" s="1"/>
  <c r="V208" i="7" s="1"/>
  <c r="R209" i="7" a="1"/>
  <c r="R209" i="7" s="1"/>
  <c r="V209" i="7" s="1"/>
  <c r="R210" i="7" a="1"/>
  <c r="R210" i="7" s="1"/>
  <c r="V210" i="7" s="1"/>
  <c r="R211" i="7" a="1"/>
  <c r="R211" i="7" s="1"/>
  <c r="V211" i="7" s="1"/>
  <c r="R212" i="7" a="1"/>
  <c r="R212" i="7" s="1"/>
  <c r="V212" i="7" s="1"/>
  <c r="R213" i="7" a="1"/>
  <c r="R213" i="7" s="1"/>
  <c r="V213" i="7" s="1"/>
  <c r="R214" i="7" a="1"/>
  <c r="R214" i="7" s="1"/>
  <c r="V214" i="7" s="1"/>
  <c r="R215" i="7" a="1"/>
  <c r="R215" i="7" s="1"/>
  <c r="V215" i="7" s="1"/>
  <c r="R216" i="7" a="1"/>
  <c r="R216" i="7" s="1"/>
  <c r="V216" i="7" s="1"/>
  <c r="R217" i="7" a="1"/>
  <c r="R217" i="7" s="1"/>
  <c r="V217" i="7" s="1"/>
  <c r="R218" i="7" a="1"/>
  <c r="R218" i="7" s="1"/>
  <c r="V218" i="7" s="1"/>
  <c r="R219" i="7" a="1"/>
  <c r="R219" i="7" s="1"/>
  <c r="V219" i="7" s="1"/>
  <c r="R220" i="7" a="1"/>
  <c r="R220" i="7" s="1"/>
  <c r="V220" i="7" s="1"/>
  <c r="R221" i="7" a="1"/>
  <c r="R221" i="7" s="1"/>
  <c r="V221" i="7" s="1"/>
  <c r="R222" i="7" a="1"/>
  <c r="R222" i="7" s="1"/>
  <c r="V222" i="7" s="1"/>
  <c r="R223" i="7" a="1"/>
  <c r="R223" i="7" s="1"/>
  <c r="V223" i="7" s="1"/>
  <c r="R224" i="7" a="1"/>
  <c r="R224" i="7" s="1"/>
  <c r="V224" i="7" s="1"/>
  <c r="R225" i="7" a="1"/>
  <c r="R225" i="7" s="1"/>
  <c r="V225" i="7" s="1"/>
  <c r="R226" i="7" a="1"/>
  <c r="R226" i="7" s="1"/>
  <c r="V226" i="7" s="1"/>
  <c r="R227" i="7" a="1"/>
  <c r="R227" i="7" s="1"/>
  <c r="V227" i="7" s="1"/>
  <c r="R228" i="7" a="1"/>
  <c r="R228" i="7" s="1"/>
  <c r="V228" i="7" s="1"/>
  <c r="R229" i="7" a="1"/>
  <c r="R229" i="7" s="1"/>
  <c r="V229" i="7" s="1"/>
  <c r="R230" i="7" a="1"/>
  <c r="R230" i="7" s="1"/>
  <c r="V230" i="7" s="1"/>
  <c r="R231" i="7" a="1"/>
  <c r="R231" i="7" s="1"/>
  <c r="V231" i="7" s="1"/>
  <c r="R232" i="7" a="1"/>
  <c r="R232" i="7" s="1"/>
  <c r="V232" i="7" s="1"/>
  <c r="R233" i="7" a="1"/>
  <c r="R233" i="7" s="1"/>
  <c r="V233" i="7" s="1"/>
  <c r="R234" i="7" a="1"/>
  <c r="R234" i="7" s="1"/>
  <c r="V234" i="7" s="1"/>
  <c r="R235" i="7" a="1"/>
  <c r="R235" i="7" s="1"/>
  <c r="V235" i="7" s="1"/>
  <c r="R236" i="7" a="1"/>
  <c r="R236" i="7" s="1"/>
  <c r="V236" i="7" s="1"/>
  <c r="R237" i="7" a="1"/>
  <c r="R237" i="7" s="1"/>
  <c r="V237" i="7" s="1"/>
  <c r="R238" i="7" a="1"/>
  <c r="R238" i="7" s="1"/>
  <c r="V238" i="7" s="1"/>
  <c r="R239" i="7" a="1"/>
  <c r="R239" i="7" s="1"/>
  <c r="V239" i="7" s="1"/>
  <c r="R240" i="7" a="1"/>
  <c r="R240" i="7" s="1"/>
  <c r="V240" i="7" s="1"/>
  <c r="R241" i="7" a="1"/>
  <c r="R241" i="7" s="1"/>
  <c r="V241" i="7" s="1"/>
  <c r="R242" i="7" a="1"/>
  <c r="R242" i="7" s="1"/>
  <c r="V242" i="7" s="1"/>
  <c r="R243" i="7" a="1"/>
  <c r="R243" i="7" s="1"/>
  <c r="V243" i="7" s="1"/>
  <c r="R244" i="7" a="1"/>
  <c r="R244" i="7" s="1"/>
  <c r="V244" i="7" s="1"/>
  <c r="R245" i="7" a="1"/>
  <c r="R245" i="7" s="1"/>
  <c r="V245" i="7" s="1"/>
  <c r="R246" i="7" a="1"/>
  <c r="R246" i="7" s="1"/>
  <c r="V246" i="7" s="1"/>
  <c r="R247" i="7" a="1"/>
  <c r="R247" i="7" s="1"/>
  <c r="V247" i="7" s="1"/>
  <c r="R248" i="7" a="1"/>
  <c r="R248" i="7" s="1"/>
  <c r="V248" i="7" s="1"/>
  <c r="R249" i="7" a="1"/>
  <c r="R249" i="7" s="1"/>
  <c r="V249" i="7" s="1"/>
  <c r="R250" i="7" a="1"/>
  <c r="R250" i="7" s="1"/>
  <c r="V250" i="7" s="1"/>
  <c r="R251" i="7" a="1"/>
  <c r="R251" i="7" s="1"/>
  <c r="V251" i="7" s="1"/>
  <c r="R252" i="7" a="1"/>
  <c r="R252" i="7" s="1"/>
  <c r="V252" i="7" s="1"/>
  <c r="R253" i="7" a="1"/>
  <c r="R253" i="7" s="1"/>
  <c r="V253" i="7" s="1"/>
  <c r="R254" i="7" a="1"/>
  <c r="R254" i="7" s="1"/>
  <c r="V254" i="7" s="1"/>
  <c r="R255" i="7" a="1"/>
  <c r="R255" i="7" s="1"/>
  <c r="V255" i="7" s="1"/>
  <c r="R256" i="7" a="1"/>
  <c r="R256" i="7" s="1"/>
  <c r="V256" i="7" s="1"/>
  <c r="R257" i="7" a="1"/>
  <c r="R257" i="7" s="1"/>
  <c r="V257" i="7" s="1"/>
  <c r="R258" i="7" a="1"/>
  <c r="R258" i="7" s="1"/>
  <c r="V258" i="7" s="1"/>
  <c r="R259" i="7" a="1"/>
  <c r="R259" i="7" s="1"/>
  <c r="V259" i="7" s="1"/>
  <c r="R260" i="7" a="1"/>
  <c r="R260" i="7" s="1"/>
  <c r="V260" i="7" s="1"/>
  <c r="R261" i="7" a="1"/>
  <c r="R261" i="7" s="1"/>
  <c r="V261" i="7" s="1"/>
  <c r="R262" i="7" a="1"/>
  <c r="R262" i="7" s="1"/>
  <c r="V262" i="7" s="1"/>
  <c r="R263" i="7" a="1"/>
  <c r="R263" i="7" s="1"/>
  <c r="V263" i="7" s="1"/>
  <c r="R264" i="7" a="1"/>
  <c r="R264" i="7" s="1"/>
  <c r="V264" i="7" s="1"/>
  <c r="R265" i="7" a="1"/>
  <c r="R265" i="7" s="1"/>
  <c r="V265" i="7" s="1"/>
  <c r="R266" i="7" a="1"/>
  <c r="R266" i="7" s="1"/>
  <c r="V266" i="7" s="1"/>
  <c r="R267" i="7" a="1"/>
  <c r="R267" i="7" s="1"/>
  <c r="V267" i="7" s="1"/>
  <c r="R268" i="7" a="1"/>
  <c r="R268" i="7" s="1"/>
  <c r="V268" i="7" s="1"/>
  <c r="R269" i="7" a="1"/>
  <c r="R269" i="7" s="1"/>
  <c r="V269" i="7" s="1"/>
  <c r="R270" i="7" a="1"/>
  <c r="R270" i="7" s="1"/>
  <c r="V270" i="7" s="1"/>
  <c r="R271" i="7" a="1"/>
  <c r="R271" i="7" s="1"/>
  <c r="V271" i="7" s="1"/>
  <c r="R272" i="7" a="1"/>
  <c r="R272" i="7" s="1"/>
  <c r="V272" i="7" s="1"/>
  <c r="R273" i="7" a="1"/>
  <c r="R273" i="7" s="1"/>
  <c r="V273" i="7" s="1"/>
  <c r="R274" i="7" a="1"/>
  <c r="R274" i="7" s="1"/>
  <c r="V274" i="7" s="1"/>
  <c r="R275" i="7" a="1"/>
  <c r="R275" i="7" s="1"/>
  <c r="V275" i="7" s="1"/>
  <c r="R276" i="7" a="1"/>
  <c r="R276" i="7" s="1"/>
  <c r="V276" i="7" s="1"/>
  <c r="R277" i="7" a="1"/>
  <c r="R277" i="7" s="1"/>
  <c r="V277" i="7" s="1"/>
  <c r="R278" i="7" a="1"/>
  <c r="R278" i="7" s="1"/>
  <c r="V278" i="7" s="1"/>
  <c r="R279" i="7" a="1"/>
  <c r="R279" i="7" s="1"/>
  <c r="V279" i="7" s="1"/>
  <c r="R280" i="7" a="1"/>
  <c r="R280" i="7" s="1"/>
  <c r="V280" i="7" s="1"/>
  <c r="R281" i="7" a="1"/>
  <c r="R281" i="7" s="1"/>
  <c r="V281" i="7" s="1"/>
  <c r="R282" i="7" a="1"/>
  <c r="R282" i="7" s="1"/>
  <c r="V282" i="7" s="1"/>
  <c r="R283" i="7" a="1"/>
  <c r="R283" i="7" s="1"/>
  <c r="V283" i="7" s="1"/>
  <c r="R284" i="7" a="1"/>
  <c r="R284" i="7" s="1"/>
  <c r="V284" i="7" s="1"/>
  <c r="R285" i="7" a="1"/>
  <c r="R285" i="7" s="1"/>
  <c r="V285" i="7" s="1"/>
  <c r="R286" i="7" a="1"/>
  <c r="R286" i="7" s="1"/>
  <c r="V286" i="7" s="1"/>
  <c r="R287" i="7" a="1"/>
  <c r="R287" i="7" s="1"/>
  <c r="V287" i="7" s="1"/>
  <c r="R288" i="7" a="1"/>
  <c r="R288" i="7" s="1"/>
  <c r="V288" i="7" s="1"/>
  <c r="R289" i="7" a="1"/>
  <c r="R289" i="7" s="1"/>
  <c r="V289" i="7" s="1"/>
  <c r="R290" i="7" a="1"/>
  <c r="R290" i="7" s="1"/>
  <c r="V290" i="7" s="1"/>
  <c r="R291" i="7" a="1"/>
  <c r="R291" i="7" s="1"/>
  <c r="V291" i="7" s="1"/>
  <c r="R292" i="7" a="1"/>
  <c r="R292" i="7" s="1"/>
  <c r="V292" i="7" s="1"/>
  <c r="R293" i="7" a="1"/>
  <c r="R293" i="7" s="1"/>
  <c r="V293" i="7" s="1"/>
  <c r="R294" i="7" a="1"/>
  <c r="R294" i="7" s="1"/>
  <c r="V294" i="7" s="1"/>
  <c r="R295" i="7" a="1"/>
  <c r="R295" i="7" s="1"/>
  <c r="V295" i="7" s="1"/>
  <c r="R296" i="7" a="1"/>
  <c r="R296" i="7" s="1"/>
  <c r="V296" i="7" s="1"/>
  <c r="R297" i="7" a="1"/>
  <c r="R297" i="7" s="1"/>
  <c r="V297" i="7" s="1"/>
  <c r="R298" i="7" a="1"/>
  <c r="R298" i="7" s="1"/>
  <c r="V298" i="7" s="1"/>
  <c r="R299" i="7" a="1"/>
  <c r="R299" i="7" s="1"/>
  <c r="V299" i="7" s="1"/>
  <c r="R300" i="7" a="1"/>
  <c r="R300" i="7" s="1"/>
  <c r="V300" i="7" s="1"/>
  <c r="R301" i="7" a="1"/>
  <c r="R301" i="7" s="1"/>
  <c r="V301" i="7" s="1"/>
  <c r="R302" i="7" a="1"/>
  <c r="R302" i="7" s="1"/>
  <c r="V302" i="7" s="1"/>
  <c r="R303" i="7" a="1"/>
  <c r="R303" i="7" s="1"/>
  <c r="V303" i="7" s="1"/>
  <c r="R304" i="7" a="1"/>
  <c r="R304" i="7" s="1"/>
  <c r="V304" i="7" s="1"/>
  <c r="R305" i="7" a="1"/>
  <c r="R305" i="7" s="1"/>
  <c r="V305" i="7" s="1"/>
  <c r="R306" i="7" a="1"/>
  <c r="R306" i="7" s="1"/>
  <c r="V306" i="7" s="1"/>
  <c r="R307" i="7" a="1"/>
  <c r="R307" i="7" s="1"/>
  <c r="V307" i="7" s="1"/>
  <c r="R308" i="7" a="1"/>
  <c r="R308" i="7" s="1"/>
  <c r="V308" i="7" s="1"/>
  <c r="R309" i="7" a="1"/>
  <c r="R309" i="7" s="1"/>
  <c r="V309" i="7" s="1"/>
  <c r="R310" i="7" a="1"/>
  <c r="R310" i="7" s="1"/>
  <c r="V310" i="7" s="1"/>
  <c r="R311" i="7" a="1"/>
  <c r="R311" i="7" s="1"/>
  <c r="V311" i="7" s="1"/>
  <c r="R312" i="7" a="1"/>
  <c r="R312" i="7" s="1"/>
  <c r="V312" i="7" s="1"/>
  <c r="R313" i="7" a="1"/>
  <c r="R313" i="7" s="1"/>
  <c r="V313" i="7" s="1"/>
  <c r="R314" i="7" a="1"/>
  <c r="R314" i="7" s="1"/>
  <c r="V314" i="7" s="1"/>
  <c r="R315" i="7" a="1"/>
  <c r="R315" i="7" s="1"/>
  <c r="V315" i="7" s="1"/>
  <c r="R316" i="7" a="1"/>
  <c r="R316" i="7" s="1"/>
  <c r="V316" i="7" s="1"/>
  <c r="R317" i="7" a="1"/>
  <c r="R317" i="7" s="1"/>
  <c r="V317" i="7" s="1"/>
  <c r="R318" i="7" a="1"/>
  <c r="R318" i="7" s="1"/>
  <c r="V318" i="7" s="1"/>
  <c r="R319" i="7" a="1"/>
  <c r="R319" i="7" s="1"/>
  <c r="V319" i="7" s="1"/>
  <c r="R320" i="7" a="1"/>
  <c r="R320" i="7" s="1"/>
  <c r="V320" i="7" s="1"/>
  <c r="R321" i="7" a="1"/>
  <c r="R321" i="7" s="1"/>
  <c r="V321" i="7" s="1"/>
  <c r="R322" i="7" a="1"/>
  <c r="R322" i="7" s="1"/>
  <c r="V322" i="7" s="1"/>
  <c r="R323" i="7" a="1"/>
  <c r="R323" i="7" s="1"/>
  <c r="V323" i="7" s="1"/>
  <c r="R324" i="7" a="1"/>
  <c r="R324" i="7" s="1"/>
  <c r="V324" i="7" s="1"/>
  <c r="R325" i="7" a="1"/>
  <c r="R325" i="7" s="1"/>
  <c r="V325" i="7" s="1"/>
  <c r="R326" i="7" a="1"/>
  <c r="R326" i="7" s="1"/>
  <c r="V326" i="7" s="1"/>
  <c r="R327" i="7" a="1"/>
  <c r="R327" i="7" s="1"/>
  <c r="V327" i="7" s="1"/>
  <c r="R328" i="7" a="1"/>
  <c r="R328" i="7" s="1"/>
  <c r="V328" i="7" s="1"/>
  <c r="R329" i="7" a="1"/>
  <c r="R329" i="7" s="1"/>
  <c r="V329" i="7" s="1"/>
  <c r="R330" i="7" a="1"/>
  <c r="R330" i="7" s="1"/>
  <c r="V330" i="7" s="1"/>
  <c r="R331" i="7" a="1"/>
  <c r="R331" i="7" s="1"/>
  <c r="V331" i="7" s="1"/>
  <c r="R332" i="7" a="1"/>
  <c r="R332" i="7" s="1"/>
  <c r="V332" i="7" s="1"/>
  <c r="R333" i="7" a="1"/>
  <c r="R333" i="7" s="1"/>
  <c r="V333" i="7" s="1"/>
  <c r="R334" i="7" a="1"/>
  <c r="R334" i="7" s="1"/>
  <c r="V334" i="7" s="1"/>
  <c r="R335" i="7" a="1"/>
  <c r="R335" i="7" s="1"/>
  <c r="V335" i="7" s="1"/>
  <c r="R336" i="7" a="1"/>
  <c r="R336" i="7" s="1"/>
  <c r="V336" i="7" s="1"/>
  <c r="R337" i="7" a="1"/>
  <c r="R337" i="7" s="1"/>
  <c r="V337" i="7" s="1"/>
  <c r="R338" i="7" a="1"/>
  <c r="R338" i="7" s="1"/>
  <c r="V338" i="7" s="1"/>
  <c r="R339" i="7" a="1"/>
  <c r="R339" i="7" s="1"/>
  <c r="V339" i="7" s="1"/>
  <c r="R340" i="7" a="1"/>
  <c r="R340" i="7" s="1"/>
  <c r="V340" i="7" s="1"/>
  <c r="R341" i="7" a="1"/>
  <c r="R341" i="7" s="1"/>
  <c r="V341" i="7" s="1"/>
  <c r="R342" i="7" a="1"/>
  <c r="R342" i="7" s="1"/>
  <c r="V342" i="7" s="1"/>
  <c r="R343" i="7" a="1"/>
  <c r="R343" i="7" s="1"/>
  <c r="V343" i="7" s="1"/>
  <c r="R344" i="7" a="1"/>
  <c r="R344" i="7" s="1"/>
  <c r="V344" i="7" s="1"/>
  <c r="R345" i="7" a="1"/>
  <c r="R345" i="7" s="1"/>
  <c r="V345" i="7" s="1"/>
  <c r="R346" i="7" a="1"/>
  <c r="R346" i="7" s="1"/>
  <c r="V346" i="7" s="1"/>
  <c r="R347" i="7" a="1"/>
  <c r="R347" i="7" s="1"/>
  <c r="V347" i="7" s="1"/>
  <c r="R348" i="7" a="1"/>
  <c r="R348" i="7" s="1"/>
  <c r="V348" i="7" s="1"/>
  <c r="R349" i="7" a="1"/>
  <c r="R349" i="7" s="1"/>
  <c r="V349" i="7" s="1"/>
  <c r="R350" i="7" a="1"/>
  <c r="R350" i="7" s="1"/>
  <c r="V350" i="7" s="1"/>
  <c r="R351" i="7" a="1"/>
  <c r="R351" i="7" s="1"/>
  <c r="V351" i="7" s="1"/>
  <c r="R352" i="7" a="1"/>
  <c r="R352" i="7" s="1"/>
  <c r="V352" i="7" s="1"/>
  <c r="R353" i="7" a="1"/>
  <c r="R353" i="7" s="1"/>
  <c r="V353" i="7" s="1"/>
  <c r="R354" i="7" a="1"/>
  <c r="R354" i="7" s="1"/>
  <c r="V354" i="7" s="1"/>
  <c r="R355" i="7" a="1"/>
  <c r="R355" i="7" s="1"/>
  <c r="V355" i="7" s="1"/>
  <c r="R356" i="7" a="1"/>
  <c r="R356" i="7" s="1"/>
  <c r="V356" i="7" s="1"/>
  <c r="R357" i="7" a="1"/>
  <c r="R357" i="7" s="1"/>
  <c r="V357" i="7" s="1"/>
  <c r="R358" i="7" a="1"/>
  <c r="R358" i="7" s="1"/>
  <c r="V358" i="7" s="1"/>
  <c r="R359" i="7" a="1"/>
  <c r="R359" i="7" s="1"/>
  <c r="V359" i="7" s="1"/>
  <c r="R360" i="7" a="1"/>
  <c r="R360" i="7" s="1"/>
  <c r="V360" i="7" s="1"/>
  <c r="R361" i="7" a="1"/>
  <c r="R361" i="7" s="1"/>
  <c r="V361" i="7" s="1"/>
  <c r="P2" i="7" a="1"/>
  <c r="P2" i="7" s="1"/>
  <c r="S2" i="7" s="1"/>
  <c r="T2" i="7" s="1"/>
  <c r="P3" i="7" a="1"/>
  <c r="P3" i="7" s="1"/>
  <c r="S3" i="7" s="1"/>
  <c r="P4" i="7" a="1"/>
  <c r="P4" i="7" s="1"/>
  <c r="S4" i="7" s="1"/>
  <c r="T4" i="7" s="1"/>
  <c r="P5" i="7" a="1"/>
  <c r="P5" i="7" s="1"/>
  <c r="S5" i="7" s="1"/>
  <c r="P6" i="7" a="1"/>
  <c r="P6" i="7" s="1"/>
  <c r="S6" i="7" s="1"/>
  <c r="T6" i="7" s="1"/>
  <c r="P7" i="7" a="1"/>
  <c r="P7" i="7" s="1"/>
  <c r="S7" i="7" s="1"/>
  <c r="P8" i="7" a="1"/>
  <c r="P8" i="7" s="1"/>
  <c r="S8" i="7" s="1"/>
  <c r="P9" i="7" a="1"/>
  <c r="P9" i="7" s="1"/>
  <c r="S9" i="7" s="1"/>
  <c r="T9" i="7" s="1"/>
  <c r="P10" i="7" a="1"/>
  <c r="P10" i="7" s="1"/>
  <c r="S10" i="7" s="1"/>
  <c r="P11" i="7" a="1"/>
  <c r="P11" i="7" s="1"/>
  <c r="S11" i="7" s="1"/>
  <c r="P12" i="7" a="1"/>
  <c r="P12" i="7" s="1"/>
  <c r="S12" i="7" s="1"/>
  <c r="P13" i="7" a="1"/>
  <c r="P13" i="7" s="1"/>
  <c r="S13" i="7" s="1"/>
  <c r="P14" i="7" a="1"/>
  <c r="P14" i="7" s="1"/>
  <c r="S14" i="7" s="1"/>
  <c r="P15" i="7" a="1"/>
  <c r="P15" i="7" s="1"/>
  <c r="S15" i="7" s="1"/>
  <c r="P16" i="7" a="1"/>
  <c r="P16" i="7" s="1"/>
  <c r="S16" i="7" s="1"/>
  <c r="P17" i="7" a="1"/>
  <c r="P17" i="7" s="1"/>
  <c r="S17" i="7" s="1"/>
  <c r="P18" i="7" a="1"/>
  <c r="P18" i="7" s="1"/>
  <c r="S18" i="7" s="1"/>
  <c r="P19" i="7" a="1"/>
  <c r="P19" i="7" s="1"/>
  <c r="S19" i="7" s="1"/>
  <c r="T19" i="7" s="1"/>
  <c r="P20" i="7" a="1"/>
  <c r="P20" i="7" s="1"/>
  <c r="S20" i="7" s="1"/>
  <c r="T20" i="7" s="1"/>
  <c r="P21" i="7" a="1"/>
  <c r="P21" i="7" s="1"/>
  <c r="S21" i="7" s="1"/>
  <c r="P22" i="7" a="1"/>
  <c r="P22" i="7" s="1"/>
  <c r="S22" i="7" s="1"/>
  <c r="P23" i="7" a="1"/>
  <c r="P23" i="7" s="1"/>
  <c r="S23" i="7" s="1"/>
  <c r="P24" i="7" a="1"/>
  <c r="P24" i="7" s="1"/>
  <c r="S24" i="7" s="1"/>
  <c r="T24" i="7" s="1"/>
  <c r="P25" i="7" a="1"/>
  <c r="P25" i="7" s="1"/>
  <c r="S25" i="7" s="1"/>
  <c r="T25" i="7" s="1"/>
  <c r="U25" i="7" s="1"/>
  <c r="P26" i="7" a="1"/>
  <c r="P26" i="7" s="1"/>
  <c r="S26" i="7" s="1"/>
  <c r="P27" i="7" a="1"/>
  <c r="P27" i="7" s="1"/>
  <c r="S27" i="7" s="1"/>
  <c r="P28" i="7" a="1"/>
  <c r="P28" i="7" s="1"/>
  <c r="S28" i="7" s="1"/>
  <c r="P29" i="7" a="1"/>
  <c r="P29" i="7" s="1"/>
  <c r="S29" i="7" s="1"/>
  <c r="P30" i="7" a="1"/>
  <c r="P30" i="7" s="1"/>
  <c r="S30" i="7" s="1"/>
  <c r="P31" i="7" a="1"/>
  <c r="P31" i="7" s="1"/>
  <c r="S31" i="7" s="1"/>
  <c r="P32" i="7" a="1"/>
  <c r="P32" i="7" s="1"/>
  <c r="S32" i="7" s="1"/>
  <c r="P33" i="7" a="1"/>
  <c r="P33" i="7" s="1"/>
  <c r="S33" i="7" s="1"/>
  <c r="P34" i="7" a="1"/>
  <c r="P34" i="7" s="1"/>
  <c r="S34" i="7" s="1"/>
  <c r="P35" i="7" a="1"/>
  <c r="P35" i="7" s="1"/>
  <c r="S35" i="7" s="1"/>
  <c r="T35" i="7" s="1"/>
  <c r="P36" i="7" a="1"/>
  <c r="P36" i="7" s="1"/>
  <c r="S36" i="7" s="1"/>
  <c r="P37" i="7" a="1"/>
  <c r="P37" i="7" s="1"/>
  <c r="S37" i="7" s="1"/>
  <c r="P38" i="7" a="1"/>
  <c r="P38" i="7" s="1"/>
  <c r="S38" i="7" s="1"/>
  <c r="P39" i="7" a="1"/>
  <c r="P39" i="7" s="1"/>
  <c r="S39" i="7" s="1"/>
  <c r="P40" i="7" a="1"/>
  <c r="P40" i="7" s="1"/>
  <c r="S40" i="7" s="1"/>
  <c r="P41" i="7" a="1"/>
  <c r="P41" i="7" s="1"/>
  <c r="S41" i="7" s="1"/>
  <c r="P42" i="7" a="1"/>
  <c r="P42" i="7" s="1"/>
  <c r="S42" i="7" s="1"/>
  <c r="T42" i="7" s="1"/>
  <c r="P43" i="7" a="1"/>
  <c r="P43" i="7" s="1"/>
  <c r="S43" i="7" s="1"/>
  <c r="T43" i="7" s="1"/>
  <c r="P44" i="7" a="1"/>
  <c r="P44" i="7" s="1"/>
  <c r="S44" i="7" s="1"/>
  <c r="P45" i="7" a="1"/>
  <c r="P45" i="7" s="1"/>
  <c r="S45" i="7" s="1"/>
  <c r="T45" i="7" s="1"/>
  <c r="P46" i="7" a="1"/>
  <c r="P46" i="7" s="1"/>
  <c r="S46" i="7" s="1"/>
  <c r="T46" i="7" s="1"/>
  <c r="P47" i="7" a="1"/>
  <c r="P47" i="7" s="1"/>
  <c r="S47" i="7" s="1"/>
  <c r="T47" i="7" s="1"/>
  <c r="P48" i="7" a="1"/>
  <c r="P48" i="7" s="1"/>
  <c r="S48" i="7" s="1"/>
  <c r="T48" i="7" s="1"/>
  <c r="P49" i="7" a="1"/>
  <c r="P49" i="7" s="1"/>
  <c r="S49" i="7" s="1"/>
  <c r="P50" i="7" a="1"/>
  <c r="P50" i="7" s="1"/>
  <c r="S50" i="7" s="1"/>
  <c r="P51" i="7" a="1"/>
  <c r="P51" i="7" s="1"/>
  <c r="S51" i="7" s="1"/>
  <c r="P52" i="7" a="1"/>
  <c r="P52" i="7" s="1"/>
  <c r="S52" i="7" s="1"/>
  <c r="P53" i="7" a="1"/>
  <c r="P53" i="7" s="1"/>
  <c r="S53" i="7" s="1"/>
  <c r="P54" i="7" a="1"/>
  <c r="P54" i="7" s="1"/>
  <c r="S54" i="7" s="1"/>
  <c r="P55" i="7" a="1"/>
  <c r="P55" i="7" s="1"/>
  <c r="S55" i="7" s="1"/>
  <c r="P56" i="7" a="1"/>
  <c r="P56" i="7" s="1"/>
  <c r="S56" i="7" s="1"/>
  <c r="P57" i="7" a="1"/>
  <c r="P57" i="7" s="1"/>
  <c r="S57" i="7" s="1"/>
  <c r="P58" i="7" a="1"/>
  <c r="P58" i="7" s="1"/>
  <c r="S58" i="7" s="1"/>
  <c r="T58" i="7" s="1"/>
  <c r="P59" i="7" a="1"/>
  <c r="P59" i="7" s="1"/>
  <c r="S59" i="7" s="1"/>
  <c r="P60" i="7" a="1"/>
  <c r="P60" i="7" s="1"/>
  <c r="S60" i="7" s="1"/>
  <c r="P61" i="7" a="1"/>
  <c r="P61" i="7" s="1"/>
  <c r="S61" i="7" s="1"/>
  <c r="P62" i="7" a="1"/>
  <c r="P62" i="7" s="1"/>
  <c r="S62" i="7" s="1"/>
  <c r="P63" i="7" a="1"/>
  <c r="P63" i="7" s="1"/>
  <c r="S63" i="7" s="1"/>
  <c r="T63" i="7" s="1"/>
  <c r="P64" i="7" a="1"/>
  <c r="P64" i="7" s="1"/>
  <c r="S64" i="7" s="1"/>
  <c r="T64" i="7" s="1"/>
  <c r="P65" i="7" a="1"/>
  <c r="P65" i="7" s="1"/>
  <c r="S65" i="7" s="1"/>
  <c r="P66" i="7" a="1"/>
  <c r="P66" i="7" s="1"/>
  <c r="S66" i="7" s="1"/>
  <c r="P67" i="7" a="1"/>
  <c r="P67" i="7" s="1"/>
  <c r="S67" i="7" s="1"/>
  <c r="T67" i="7" s="1"/>
  <c r="P68" i="7" a="1"/>
  <c r="P68" i="7" s="1"/>
  <c r="S68" i="7" s="1"/>
  <c r="P69" i="7" a="1"/>
  <c r="P69" i="7" s="1"/>
  <c r="S69" i="7" s="1"/>
  <c r="T69" i="7" s="1"/>
  <c r="P70" i="7" a="1"/>
  <c r="P70" i="7" s="1"/>
  <c r="S70" i="7" s="1"/>
  <c r="P71" i="7" a="1"/>
  <c r="P71" i="7" s="1"/>
  <c r="S71" i="7" s="1"/>
  <c r="P72" i="7" a="1"/>
  <c r="P72" i="7" s="1"/>
  <c r="S72" i="7" s="1"/>
  <c r="P73" i="7" a="1"/>
  <c r="P73" i="7" s="1"/>
  <c r="S73" i="7" s="1"/>
  <c r="P74" i="7" a="1"/>
  <c r="P74" i="7" s="1"/>
  <c r="S74" i="7" s="1"/>
  <c r="T74" i="7" s="1"/>
  <c r="P75" i="7" a="1"/>
  <c r="P75" i="7" s="1"/>
  <c r="S75" i="7" s="1"/>
  <c r="T75" i="7" s="1"/>
  <c r="P76" i="7" a="1"/>
  <c r="P76" i="7" s="1"/>
  <c r="S76" i="7" s="1"/>
  <c r="P77" i="7" a="1"/>
  <c r="P77" i="7" s="1"/>
  <c r="S77" i="7" s="1"/>
  <c r="P78" i="7" a="1"/>
  <c r="P78" i="7" s="1"/>
  <c r="S78" i="7" s="1"/>
  <c r="P79" i="7" a="1"/>
  <c r="P79" i="7" s="1"/>
  <c r="S79" i="7" s="1"/>
  <c r="P80" i="7" a="1"/>
  <c r="P80" i="7" s="1"/>
  <c r="S80" i="7" s="1"/>
  <c r="T80" i="7" s="1"/>
  <c r="P81" i="7" a="1"/>
  <c r="P81" i="7" s="1"/>
  <c r="S81" i="7" s="1"/>
  <c r="P82" i="7" a="1"/>
  <c r="P82" i="7" s="1"/>
  <c r="S82" i="7" s="1"/>
  <c r="P83" i="7" a="1"/>
  <c r="P83" i="7" s="1"/>
  <c r="S83" i="7" s="1"/>
  <c r="P84" i="7" a="1"/>
  <c r="P84" i="7" s="1"/>
  <c r="S84" i="7" s="1"/>
  <c r="P85" i="7" a="1"/>
  <c r="P85" i="7" s="1"/>
  <c r="S85" i="7" s="1"/>
  <c r="T85" i="7" s="1"/>
  <c r="P86" i="7" a="1"/>
  <c r="P86" i="7" s="1"/>
  <c r="S86" i="7" s="1"/>
  <c r="P87" i="7" a="1"/>
  <c r="P87" i="7" s="1"/>
  <c r="S87" i="7" s="1"/>
  <c r="P88" i="7" a="1"/>
  <c r="P88" i="7" s="1"/>
  <c r="S88" i="7" s="1"/>
  <c r="P89" i="7" a="1"/>
  <c r="P89" i="7" s="1"/>
  <c r="S89" i="7" s="1"/>
  <c r="P90" i="7" a="1"/>
  <c r="P90" i="7" s="1"/>
  <c r="S90" i="7" s="1"/>
  <c r="P91" i="7" a="1"/>
  <c r="P91" i="7" s="1"/>
  <c r="S91" i="7" s="1"/>
  <c r="P92" i="7" a="1"/>
  <c r="P92" i="7" s="1"/>
  <c r="S92" i="7" s="1"/>
  <c r="P93" i="7" a="1"/>
  <c r="P93" i="7" s="1"/>
  <c r="S93" i="7" s="1"/>
  <c r="P94" i="7" a="1"/>
  <c r="P94" i="7" s="1"/>
  <c r="S94" i="7" s="1"/>
  <c r="T94" i="7" s="1"/>
  <c r="U94" i="7" s="1"/>
  <c r="P95" i="7" a="1"/>
  <c r="P95" i="7" s="1"/>
  <c r="S95" i="7" s="1"/>
  <c r="P96" i="7" a="1"/>
  <c r="P96" i="7" s="1"/>
  <c r="S96" i="7" s="1"/>
  <c r="P97" i="7" a="1"/>
  <c r="P97" i="7" s="1"/>
  <c r="S97" i="7" s="1"/>
  <c r="T97" i="7" s="1"/>
  <c r="P98" i="7" a="1"/>
  <c r="P98" i="7" s="1"/>
  <c r="S98" i="7" s="1"/>
  <c r="P99" i="7" a="1"/>
  <c r="P99" i="7" s="1"/>
  <c r="S99" i="7" s="1"/>
  <c r="T99" i="7" s="1"/>
  <c r="P100" i="7" a="1"/>
  <c r="P100" i="7" s="1"/>
  <c r="S100" i="7" s="1"/>
  <c r="P101" i="7" a="1"/>
  <c r="P101" i="7" s="1"/>
  <c r="S101" i="7" s="1"/>
  <c r="T101" i="7" s="1"/>
  <c r="P102" i="7" a="1"/>
  <c r="P102" i="7" s="1"/>
  <c r="S102" i="7" s="1"/>
  <c r="T102" i="7" s="1"/>
  <c r="P103" i="7" a="1"/>
  <c r="P103" i="7" s="1"/>
  <c r="S103" i="7" s="1"/>
  <c r="T103" i="7" s="1"/>
  <c r="P104" i="7" a="1"/>
  <c r="P104" i="7" s="1"/>
  <c r="S104" i="7" s="1"/>
  <c r="P105" i="7" a="1"/>
  <c r="P105" i="7" s="1"/>
  <c r="S105" i="7" s="1"/>
  <c r="P106" i="7" a="1"/>
  <c r="P106" i="7" s="1"/>
  <c r="S106" i="7" s="1"/>
  <c r="P107" i="7" a="1"/>
  <c r="P107" i="7" s="1"/>
  <c r="S107" i="7" s="1"/>
  <c r="P108" i="7" a="1"/>
  <c r="P108" i="7" s="1"/>
  <c r="S108" i="7" s="1"/>
  <c r="P109" i="7" a="1"/>
  <c r="P109" i="7" s="1"/>
  <c r="S109" i="7" s="1"/>
  <c r="P110" i="7" a="1"/>
  <c r="P110" i="7" s="1"/>
  <c r="S110" i="7" s="1"/>
  <c r="P111" i="7" a="1"/>
  <c r="P111" i="7" s="1"/>
  <c r="S111" i="7" s="1"/>
  <c r="P112" i="7" a="1"/>
  <c r="P112" i="7" s="1"/>
  <c r="S112" i="7" s="1"/>
  <c r="T112" i="7" s="1"/>
  <c r="P113" i="7" a="1"/>
  <c r="P113" i="7" s="1"/>
  <c r="S113" i="7" s="1"/>
  <c r="P114" i="7" a="1"/>
  <c r="P114" i="7" s="1"/>
  <c r="S114" i="7" s="1"/>
  <c r="P115" i="7" a="1"/>
  <c r="P115" i="7" s="1"/>
  <c r="S115" i="7" s="1"/>
  <c r="P116" i="7" a="1"/>
  <c r="P116" i="7" s="1"/>
  <c r="S116" i="7" s="1"/>
  <c r="P117" i="7" a="1"/>
  <c r="P117" i="7" s="1"/>
  <c r="S117" i="7" s="1"/>
  <c r="T117" i="7" s="1"/>
  <c r="P118" i="7" a="1"/>
  <c r="P118" i="7" s="1"/>
  <c r="S118" i="7" s="1"/>
  <c r="P119" i="7" a="1"/>
  <c r="P119" i="7" s="1"/>
  <c r="S119" i="7" s="1"/>
  <c r="P120" i="7" a="1"/>
  <c r="P120" i="7" s="1"/>
  <c r="S120" i="7" s="1"/>
  <c r="T120" i="7" s="1"/>
  <c r="P121" i="7" a="1"/>
  <c r="P121" i="7" s="1"/>
  <c r="S121" i="7" s="1"/>
  <c r="P122" i="7" a="1"/>
  <c r="P122" i="7" s="1"/>
  <c r="S122" i="7" s="1"/>
  <c r="P123" i="7" a="1"/>
  <c r="P123" i="7" s="1"/>
  <c r="S123" i="7" s="1"/>
  <c r="P124" i="7" a="1"/>
  <c r="P124" i="7" s="1"/>
  <c r="S124" i="7" s="1"/>
  <c r="T124" i="7" s="1"/>
  <c r="P125" i="7" a="1"/>
  <c r="P125" i="7" s="1"/>
  <c r="S125" i="7" s="1"/>
  <c r="P126" i="7" a="1"/>
  <c r="P126" i="7" s="1"/>
  <c r="S126" i="7" s="1"/>
  <c r="P127" i="7" a="1"/>
  <c r="P127" i="7" s="1"/>
  <c r="S127" i="7" s="1"/>
  <c r="P128" i="7" a="1"/>
  <c r="P128" i="7" s="1"/>
  <c r="S128" i="7" s="1"/>
  <c r="T128" i="7" s="1"/>
  <c r="P129" i="7" a="1"/>
  <c r="P129" i="7" s="1"/>
  <c r="S129" i="7" s="1"/>
  <c r="P130" i="7" a="1"/>
  <c r="P130" i="7" s="1"/>
  <c r="S130" i="7" s="1"/>
  <c r="P131" i="7" a="1"/>
  <c r="P131" i="7" s="1"/>
  <c r="S131" i="7" s="1"/>
  <c r="P132" i="7" a="1"/>
  <c r="P132" i="7" s="1"/>
  <c r="S132" i="7" s="1"/>
  <c r="T132" i="7" s="1"/>
  <c r="P133" i="7" a="1"/>
  <c r="P133" i="7" s="1"/>
  <c r="S133" i="7" s="1"/>
  <c r="P134" i="7" a="1"/>
  <c r="P134" i="7" s="1"/>
  <c r="S134" i="7" s="1"/>
  <c r="P135" i="7" a="1"/>
  <c r="P135" i="7" s="1"/>
  <c r="S135" i="7" s="1"/>
  <c r="T135" i="7" s="1"/>
  <c r="U135" i="7" s="1"/>
  <c r="P136" i="7" a="1"/>
  <c r="P136" i="7" s="1"/>
  <c r="S136" i="7" s="1"/>
  <c r="T136" i="7" s="1"/>
  <c r="P137" i="7" a="1"/>
  <c r="P137" i="7" s="1"/>
  <c r="S137" i="7" s="1"/>
  <c r="P138" i="7" a="1"/>
  <c r="P138" i="7" s="1"/>
  <c r="S138" i="7" s="1"/>
  <c r="P139" i="7" a="1"/>
  <c r="P139" i="7" s="1"/>
  <c r="S139" i="7" s="1"/>
  <c r="P140" i="7" a="1"/>
  <c r="P140" i="7" s="1"/>
  <c r="S140" i="7" s="1"/>
  <c r="T140" i="7" s="1"/>
  <c r="P141" i="7" a="1"/>
  <c r="P141" i="7" s="1"/>
  <c r="S141" i="7" s="1"/>
  <c r="P142" i="7" a="1"/>
  <c r="P142" i="7" s="1"/>
  <c r="S142" i="7" s="1"/>
  <c r="P143" i="7" a="1"/>
  <c r="P143" i="7" s="1"/>
  <c r="S143" i="7" s="1"/>
  <c r="P144" i="7" a="1"/>
  <c r="P144" i="7" s="1"/>
  <c r="S144" i="7" s="1"/>
  <c r="P145" i="7" a="1"/>
  <c r="P145" i="7" s="1"/>
  <c r="S145" i="7" s="1"/>
  <c r="P146" i="7" a="1"/>
  <c r="P146" i="7" s="1"/>
  <c r="S146" i="7" s="1"/>
  <c r="P147" i="7" a="1"/>
  <c r="P147" i="7" s="1"/>
  <c r="S147" i="7" s="1"/>
  <c r="T147" i="7" s="1"/>
  <c r="P148" i="7" a="1"/>
  <c r="P148" i="7" s="1"/>
  <c r="S148" i="7" s="1"/>
  <c r="P149" i="7" a="1"/>
  <c r="P149" i="7" s="1"/>
  <c r="S149" i="7" s="1"/>
  <c r="T149" i="7" s="1"/>
  <c r="P150" i="7" a="1"/>
  <c r="P150" i="7" s="1"/>
  <c r="S150" i="7" s="1"/>
  <c r="T150" i="7" s="1"/>
  <c r="P151" i="7" a="1"/>
  <c r="P151" i="7" s="1"/>
  <c r="S151" i="7" s="1"/>
  <c r="P152" i="7" a="1"/>
  <c r="P152" i="7" s="1"/>
  <c r="S152" i="7" s="1"/>
  <c r="P153" i="7" a="1"/>
  <c r="P153" i="7" s="1"/>
  <c r="S153" i="7" s="1"/>
  <c r="P154" i="7" a="1"/>
  <c r="P154" i="7" s="1"/>
  <c r="S154" i="7" s="1"/>
  <c r="P155" i="7" a="1"/>
  <c r="P155" i="7" s="1"/>
  <c r="S155" i="7" s="1"/>
  <c r="P156" i="7" a="1"/>
  <c r="P156" i="7" s="1"/>
  <c r="S156" i="7" s="1"/>
  <c r="P157" i="7" a="1"/>
  <c r="P157" i="7" s="1"/>
  <c r="S157" i="7" s="1"/>
  <c r="P158" i="7" a="1"/>
  <c r="P158" i="7" s="1"/>
  <c r="S158" i="7" s="1"/>
  <c r="P159" i="7" a="1"/>
  <c r="P159" i="7" s="1"/>
  <c r="S159" i="7" s="1"/>
  <c r="T159" i="7" s="1"/>
  <c r="P160" i="7" a="1"/>
  <c r="P160" i="7" s="1"/>
  <c r="S160" i="7" s="1"/>
  <c r="P161" i="7" a="1"/>
  <c r="P161" i="7" s="1"/>
  <c r="S161" i="7" s="1"/>
  <c r="P162" i="7" a="1"/>
  <c r="P162" i="7" s="1"/>
  <c r="S162" i="7" s="1"/>
  <c r="P163" i="7" a="1"/>
  <c r="P163" i="7" s="1"/>
  <c r="S163" i="7" s="1"/>
  <c r="T163" i="7" s="1"/>
  <c r="P164" i="7" a="1"/>
  <c r="P164" i="7" s="1"/>
  <c r="S164" i="7" s="1"/>
  <c r="P165" i="7" a="1"/>
  <c r="P165" i="7" s="1"/>
  <c r="S165" i="7" s="1"/>
  <c r="T165" i="7" s="1"/>
  <c r="P166" i="7" a="1"/>
  <c r="P166" i="7" s="1"/>
  <c r="S166" i="7" s="1"/>
  <c r="P167" i="7" a="1"/>
  <c r="P167" i="7" s="1"/>
  <c r="S167" i="7" s="1"/>
  <c r="T167" i="7" s="1"/>
  <c r="P168" i="7" a="1"/>
  <c r="P168" i="7" s="1"/>
  <c r="S168" i="7" s="1"/>
  <c r="P169" i="7" a="1"/>
  <c r="P169" i="7" s="1"/>
  <c r="S169" i="7" s="1"/>
  <c r="P170" i="7" a="1"/>
  <c r="P170" i="7" s="1"/>
  <c r="S170" i="7" s="1"/>
  <c r="P171" i="7" a="1"/>
  <c r="P171" i="7" s="1"/>
  <c r="S171" i="7" s="1"/>
  <c r="P172" i="7" a="1"/>
  <c r="P172" i="7" s="1"/>
  <c r="S172" i="7" s="1"/>
  <c r="T172" i="7" s="1"/>
  <c r="P173" i="7" a="1"/>
  <c r="P173" i="7" s="1"/>
  <c r="S173" i="7" s="1"/>
  <c r="P174" i="7" a="1"/>
  <c r="P174" i="7" s="1"/>
  <c r="S174" i="7" s="1"/>
  <c r="P175" i="7" a="1"/>
  <c r="P175" i="7" s="1"/>
  <c r="S175" i="7" s="1"/>
  <c r="P176" i="7" a="1"/>
  <c r="P176" i="7" s="1"/>
  <c r="S176" i="7" s="1"/>
  <c r="P177" i="7" a="1"/>
  <c r="P177" i="7" s="1"/>
  <c r="S177" i="7" s="1"/>
  <c r="T177" i="7" s="1"/>
  <c r="P178" i="7" a="1"/>
  <c r="P178" i="7" s="1"/>
  <c r="S178" i="7" s="1"/>
  <c r="P179" i="7" a="1"/>
  <c r="P179" i="7" s="1"/>
  <c r="S179" i="7" s="1"/>
  <c r="P180" i="7" a="1"/>
  <c r="P180" i="7" s="1"/>
  <c r="S180" i="7" s="1"/>
  <c r="P181" i="7" a="1"/>
  <c r="P181" i="7" s="1"/>
  <c r="S181" i="7" s="1"/>
  <c r="T181" i="7" s="1"/>
  <c r="P182" i="7" a="1"/>
  <c r="P182" i="7" s="1"/>
  <c r="S182" i="7" s="1"/>
  <c r="P183" i="7" a="1"/>
  <c r="P183" i="7" s="1"/>
  <c r="S183" i="7" s="1"/>
  <c r="P184" i="7" a="1"/>
  <c r="P184" i="7" s="1"/>
  <c r="S184" i="7" s="1"/>
  <c r="T184" i="7" s="1"/>
  <c r="P185" i="7" a="1"/>
  <c r="P185" i="7" s="1"/>
  <c r="S185" i="7" s="1"/>
  <c r="P186" i="7" a="1"/>
  <c r="P186" i="7" s="1"/>
  <c r="S186" i="7" s="1"/>
  <c r="P187" i="7" a="1"/>
  <c r="P187" i="7" s="1"/>
  <c r="S187" i="7" s="1"/>
  <c r="T187" i="7" s="1"/>
  <c r="P188" i="7" a="1"/>
  <c r="P188" i="7" s="1"/>
  <c r="S188" i="7" s="1"/>
  <c r="P189" i="7" a="1"/>
  <c r="P189" i="7" s="1"/>
  <c r="S189" i="7" s="1"/>
  <c r="P190" i="7" a="1"/>
  <c r="P190" i="7" s="1"/>
  <c r="S190" i="7" s="1"/>
  <c r="P191" i="7" a="1"/>
  <c r="P191" i="7" s="1"/>
  <c r="S191" i="7" s="1"/>
  <c r="P192" i="7" a="1"/>
  <c r="P192" i="7" s="1"/>
  <c r="S192" i="7" s="1"/>
  <c r="P193" i="7" a="1"/>
  <c r="P193" i="7" s="1"/>
  <c r="S193" i="7" s="1"/>
  <c r="P194" i="7" a="1"/>
  <c r="P194" i="7" s="1"/>
  <c r="S194" i="7" s="1"/>
  <c r="P195" i="7" a="1"/>
  <c r="P195" i="7" s="1"/>
  <c r="S195" i="7" s="1"/>
  <c r="T195" i="7" s="1"/>
  <c r="P196" i="7" a="1"/>
  <c r="P196" i="7" s="1"/>
  <c r="S196" i="7" s="1"/>
  <c r="P197" i="7" a="1"/>
  <c r="P197" i="7" s="1"/>
  <c r="S197" i="7" s="1"/>
  <c r="P198" i="7" a="1"/>
  <c r="P198" i="7" s="1"/>
  <c r="S198" i="7" s="1"/>
  <c r="P199" i="7" a="1"/>
  <c r="P199" i="7" s="1"/>
  <c r="S199" i="7" s="1"/>
  <c r="P200" i="7" a="1"/>
  <c r="P200" i="7" s="1"/>
  <c r="S200" i="7" s="1"/>
  <c r="T200" i="7" s="1"/>
  <c r="P201" i="7" a="1"/>
  <c r="P201" i="7" s="1"/>
  <c r="S201" i="7" s="1"/>
  <c r="P202" i="7" a="1"/>
  <c r="P202" i="7" s="1"/>
  <c r="S202" i="7" s="1"/>
  <c r="P203" i="7" a="1"/>
  <c r="P203" i="7" s="1"/>
  <c r="S203" i="7" s="1"/>
  <c r="T203" i="7" s="1"/>
  <c r="P204" i="7" a="1"/>
  <c r="P204" i="7" s="1"/>
  <c r="S204" i="7" s="1"/>
  <c r="P205" i="7" a="1"/>
  <c r="P205" i="7" s="1"/>
  <c r="S205" i="7" s="1"/>
  <c r="P206" i="7" a="1"/>
  <c r="P206" i="7" s="1"/>
  <c r="S206" i="7" s="1"/>
  <c r="P207" i="7" a="1"/>
  <c r="P207" i="7" s="1"/>
  <c r="S207" i="7" s="1"/>
  <c r="P208" i="7" a="1"/>
  <c r="P208" i="7" s="1"/>
  <c r="S208" i="7" s="1"/>
  <c r="P209" i="7" a="1"/>
  <c r="P209" i="7" s="1"/>
  <c r="S209" i="7" s="1"/>
  <c r="P210" i="7" a="1"/>
  <c r="P210" i="7" s="1"/>
  <c r="S210" i="7" s="1"/>
  <c r="P211" i="7" a="1"/>
  <c r="P211" i="7" s="1"/>
  <c r="S211" i="7" s="1"/>
  <c r="P212" i="7" a="1"/>
  <c r="P212" i="7" s="1"/>
  <c r="S212" i="7" s="1"/>
  <c r="P213" i="7" a="1"/>
  <c r="P213" i="7" s="1"/>
  <c r="S213" i="7" s="1"/>
  <c r="T213" i="7" s="1"/>
  <c r="P214" i="7" a="1"/>
  <c r="P214" i="7" s="1"/>
  <c r="S214" i="7" s="1"/>
  <c r="P215" i="7" a="1"/>
  <c r="P215" i="7" s="1"/>
  <c r="S215" i="7" s="1"/>
  <c r="P216" i="7" a="1"/>
  <c r="P216" i="7" s="1"/>
  <c r="S216" i="7" s="1"/>
  <c r="T216" i="7" s="1"/>
  <c r="P217" i="7" a="1"/>
  <c r="P217" i="7" s="1"/>
  <c r="S217" i="7" s="1"/>
  <c r="P218" i="7" a="1"/>
  <c r="P218" i="7" s="1"/>
  <c r="S218" i="7" s="1"/>
  <c r="P219" i="7" a="1"/>
  <c r="P219" i="7" s="1"/>
  <c r="S219" i="7" s="1"/>
  <c r="P220" i="7" a="1"/>
  <c r="P220" i="7" s="1"/>
  <c r="S220" i="7" s="1"/>
  <c r="P221" i="7" a="1"/>
  <c r="P221" i="7" s="1"/>
  <c r="S221" i="7" s="1"/>
  <c r="T221" i="7" s="1"/>
  <c r="P222" i="7" a="1"/>
  <c r="P222" i="7" s="1"/>
  <c r="S222" i="7" s="1"/>
  <c r="T222" i="7" s="1"/>
  <c r="P223" i="7" a="1"/>
  <c r="P223" i="7" s="1"/>
  <c r="S223" i="7" s="1"/>
  <c r="P224" i="7" a="1"/>
  <c r="P224" i="7" s="1"/>
  <c r="S224" i="7" s="1"/>
  <c r="P225" i="7" a="1"/>
  <c r="P225" i="7" s="1"/>
  <c r="S225" i="7" s="1"/>
  <c r="T225" i="7" s="1"/>
  <c r="P226" i="7" a="1"/>
  <c r="P226" i="7" s="1"/>
  <c r="S226" i="7" s="1"/>
  <c r="T226" i="7" s="1"/>
  <c r="P227" i="7" a="1"/>
  <c r="P227" i="7" s="1"/>
  <c r="S227" i="7" s="1"/>
  <c r="T227" i="7" s="1"/>
  <c r="P228" i="7" a="1"/>
  <c r="P228" i="7" s="1"/>
  <c r="S228" i="7" s="1"/>
  <c r="T228" i="7" s="1"/>
  <c r="P229" i="7" a="1"/>
  <c r="P229" i="7" s="1"/>
  <c r="S229" i="7" s="1"/>
  <c r="P230" i="7" a="1"/>
  <c r="P230" i="7" s="1"/>
  <c r="S230" i="7" s="1"/>
  <c r="P231" i="7" a="1"/>
  <c r="P231" i="7" s="1"/>
  <c r="S231" i="7" s="1"/>
  <c r="P232" i="7" a="1"/>
  <c r="P232" i="7" s="1"/>
  <c r="S232" i="7" s="1"/>
  <c r="P233" i="7" a="1"/>
  <c r="P233" i="7" s="1"/>
  <c r="S233" i="7" s="1"/>
  <c r="T233" i="7" s="1"/>
  <c r="P234" i="7" a="1"/>
  <c r="P234" i="7" s="1"/>
  <c r="S234" i="7" s="1"/>
  <c r="P235" i="7" a="1"/>
  <c r="P235" i="7" s="1"/>
  <c r="S235" i="7" s="1"/>
  <c r="P236" i="7" a="1"/>
  <c r="P236" i="7" s="1"/>
  <c r="S236" i="7" s="1"/>
  <c r="T236" i="7" s="1"/>
  <c r="P237" i="7" a="1"/>
  <c r="P237" i="7" s="1"/>
  <c r="S237" i="7" s="1"/>
  <c r="P238" i="7" a="1"/>
  <c r="P238" i="7" s="1"/>
  <c r="S238" i="7" s="1"/>
  <c r="P239" i="7" a="1"/>
  <c r="P239" i="7" s="1"/>
  <c r="S239" i="7" s="1"/>
  <c r="P240" i="7" a="1"/>
  <c r="P240" i="7" s="1"/>
  <c r="S240" i="7" s="1"/>
  <c r="P241" i="7" a="1"/>
  <c r="P241" i="7" s="1"/>
  <c r="S241" i="7" s="1"/>
  <c r="P242" i="7" a="1"/>
  <c r="P242" i="7" s="1"/>
  <c r="S242" i="7" s="1"/>
  <c r="P243" i="7" a="1"/>
  <c r="P243" i="7" s="1"/>
  <c r="S243" i="7" s="1"/>
  <c r="P244" i="7" a="1"/>
  <c r="P244" i="7" s="1"/>
  <c r="S244" i="7" s="1"/>
  <c r="P245" i="7" a="1"/>
  <c r="P245" i="7" s="1"/>
  <c r="S245" i="7" s="1"/>
  <c r="T245" i="7" s="1"/>
  <c r="P246" i="7" a="1"/>
  <c r="P246" i="7" s="1"/>
  <c r="S246" i="7" s="1"/>
  <c r="P247" i="7" a="1"/>
  <c r="P247" i="7" s="1"/>
  <c r="S247" i="7" s="1"/>
  <c r="P248" i="7" a="1"/>
  <c r="P248" i="7" s="1"/>
  <c r="S248" i="7" s="1"/>
  <c r="P249" i="7" a="1"/>
  <c r="P249" i="7" s="1"/>
  <c r="S249" i="7" s="1"/>
  <c r="P250" i="7" a="1"/>
  <c r="P250" i="7" s="1"/>
  <c r="S250" i="7" s="1"/>
  <c r="P251" i="7" a="1"/>
  <c r="P251" i="7" s="1"/>
  <c r="S251" i="7" s="1"/>
  <c r="P252" i="7" a="1"/>
  <c r="P252" i="7" s="1"/>
  <c r="S252" i="7" s="1"/>
  <c r="P253" i="7" a="1"/>
  <c r="P253" i="7" s="1"/>
  <c r="S253" i="7" s="1"/>
  <c r="P254" i="7" a="1"/>
  <c r="P254" i="7" s="1"/>
  <c r="S254" i="7" s="1"/>
  <c r="T254" i="7" s="1"/>
  <c r="P255" i="7" a="1"/>
  <c r="P255" i="7" s="1"/>
  <c r="S255" i="7" s="1"/>
  <c r="P256" i="7" a="1"/>
  <c r="P256" i="7" s="1"/>
  <c r="S256" i="7" s="1"/>
  <c r="P257" i="7" a="1"/>
  <c r="P257" i="7" s="1"/>
  <c r="S257" i="7" s="1"/>
  <c r="P258" i="7" a="1"/>
  <c r="P258" i="7" s="1"/>
  <c r="S258" i="7" s="1"/>
  <c r="P259" i="7" a="1"/>
  <c r="P259" i="7" s="1"/>
  <c r="S259" i="7" s="1"/>
  <c r="P260" i="7" a="1"/>
  <c r="P260" i="7" s="1"/>
  <c r="S260" i="7" s="1"/>
  <c r="T260" i="7" s="1"/>
  <c r="P261" i="7" a="1"/>
  <c r="P261" i="7" s="1"/>
  <c r="S261" i="7" s="1"/>
  <c r="T261" i="7" s="1"/>
  <c r="P262" i="7" a="1"/>
  <c r="P262" i="7" s="1"/>
  <c r="S262" i="7" s="1"/>
  <c r="P263" i="7" a="1"/>
  <c r="P263" i="7" s="1"/>
  <c r="S263" i="7" s="1"/>
  <c r="P264" i="7" a="1"/>
  <c r="P264" i="7" s="1"/>
  <c r="S264" i="7" s="1"/>
  <c r="P265" i="7" a="1"/>
  <c r="P265" i="7" s="1"/>
  <c r="S265" i="7" s="1"/>
  <c r="P266" i="7" a="1"/>
  <c r="P266" i="7" s="1"/>
  <c r="S266" i="7" s="1"/>
  <c r="P267" i="7" a="1"/>
  <c r="P267" i="7" s="1"/>
  <c r="S267" i="7" s="1"/>
  <c r="P268" i="7" a="1"/>
  <c r="P268" i="7" s="1"/>
  <c r="S268" i="7" s="1"/>
  <c r="P269" i="7" a="1"/>
  <c r="P269" i="7" s="1"/>
  <c r="S269" i="7" s="1"/>
  <c r="P270" i="7" a="1"/>
  <c r="P270" i="7" s="1"/>
  <c r="S270" i="7" s="1"/>
  <c r="P271" i="7" a="1"/>
  <c r="P271" i="7" s="1"/>
  <c r="S271" i="7" s="1"/>
  <c r="P272" i="7" a="1"/>
  <c r="P272" i="7" s="1"/>
  <c r="S272" i="7" s="1"/>
  <c r="P273" i="7" a="1"/>
  <c r="P273" i="7" s="1"/>
  <c r="S273" i="7" s="1"/>
  <c r="P274" i="7" a="1"/>
  <c r="P274" i="7" s="1"/>
  <c r="S274" i="7" s="1"/>
  <c r="P275" i="7" a="1"/>
  <c r="P275" i="7" s="1"/>
  <c r="S275" i="7" s="1"/>
  <c r="T275" i="7" s="1"/>
  <c r="P276" i="7" a="1"/>
  <c r="P276" i="7" s="1"/>
  <c r="S276" i="7" s="1"/>
  <c r="P277" i="7" a="1"/>
  <c r="P277" i="7" s="1"/>
  <c r="S277" i="7" s="1"/>
  <c r="P278" i="7" a="1"/>
  <c r="P278" i="7" s="1"/>
  <c r="S278" i="7" s="1"/>
  <c r="P279" i="7" a="1"/>
  <c r="P279" i="7" s="1"/>
  <c r="S279" i="7" s="1"/>
  <c r="P280" i="7" a="1"/>
  <c r="P280" i="7" s="1"/>
  <c r="S280" i="7" s="1"/>
  <c r="P281" i="7" a="1"/>
  <c r="P281" i="7" s="1"/>
  <c r="S281" i="7" s="1"/>
  <c r="P282" i="7" a="1"/>
  <c r="P282" i="7" s="1"/>
  <c r="S282" i="7" s="1"/>
  <c r="P283" i="7" a="1"/>
  <c r="P283" i="7" s="1"/>
  <c r="S283" i="7" s="1"/>
  <c r="P284" i="7" a="1"/>
  <c r="P284" i="7" s="1"/>
  <c r="S284" i="7" s="1"/>
  <c r="T284" i="7" s="1"/>
  <c r="P285" i="7" a="1"/>
  <c r="P285" i="7" s="1"/>
  <c r="S285" i="7" s="1"/>
  <c r="P286" i="7" a="1"/>
  <c r="P286" i="7" s="1"/>
  <c r="S286" i="7" s="1"/>
  <c r="P287" i="7" a="1"/>
  <c r="P287" i="7" s="1"/>
  <c r="S287" i="7" s="1"/>
  <c r="P288" i="7" a="1"/>
  <c r="P288" i="7" s="1"/>
  <c r="S288" i="7" s="1"/>
  <c r="P289" i="7" a="1"/>
  <c r="P289" i="7" s="1"/>
  <c r="S289" i="7" s="1"/>
  <c r="P290" i="7" a="1"/>
  <c r="P290" i="7" s="1"/>
  <c r="S290" i="7" s="1"/>
  <c r="P291" i="7" a="1"/>
  <c r="P291" i="7" s="1"/>
  <c r="S291" i="7" s="1"/>
  <c r="P292" i="7" a="1"/>
  <c r="P292" i="7" s="1"/>
  <c r="S292" i="7" s="1"/>
  <c r="P293" i="7" a="1"/>
  <c r="P293" i="7" s="1"/>
  <c r="S293" i="7" s="1"/>
  <c r="P294" i="7" a="1"/>
  <c r="P294" i="7" s="1"/>
  <c r="S294" i="7" s="1"/>
  <c r="P295" i="7" a="1"/>
  <c r="P295" i="7" s="1"/>
  <c r="S295" i="7" s="1"/>
  <c r="P296" i="7" a="1"/>
  <c r="P296" i="7" s="1"/>
  <c r="S296" i="7" s="1"/>
  <c r="P297" i="7" a="1"/>
  <c r="P297" i="7" s="1"/>
  <c r="S297" i="7" s="1"/>
  <c r="P298" i="7" a="1"/>
  <c r="P298" i="7" s="1"/>
  <c r="S298" i="7" s="1"/>
  <c r="P299" i="7" a="1"/>
  <c r="P299" i="7" s="1"/>
  <c r="S299" i="7" s="1"/>
  <c r="T299" i="7" s="1"/>
  <c r="P300" i="7" a="1"/>
  <c r="P300" i="7" s="1"/>
  <c r="S300" i="7" s="1"/>
  <c r="T300" i="7" s="1"/>
  <c r="P301" i="7" a="1"/>
  <c r="P301" i="7" s="1"/>
  <c r="S301" i="7" s="1"/>
  <c r="P302" i="7" a="1"/>
  <c r="P302" i="7" s="1"/>
  <c r="S302" i="7" s="1"/>
  <c r="P303" i="7" a="1"/>
  <c r="P303" i="7" s="1"/>
  <c r="S303" i="7" s="1"/>
  <c r="P304" i="7" a="1"/>
  <c r="P304" i="7" s="1"/>
  <c r="S304" i="7" s="1"/>
  <c r="P305" i="7" a="1"/>
  <c r="P305" i="7" s="1"/>
  <c r="S305" i="7" s="1"/>
  <c r="P306" i="7" a="1"/>
  <c r="P306" i="7" s="1"/>
  <c r="S306" i="7" s="1"/>
  <c r="P307" i="7" a="1"/>
  <c r="P307" i="7" s="1"/>
  <c r="S307" i="7" s="1"/>
  <c r="P308" i="7" a="1"/>
  <c r="P308" i="7" s="1"/>
  <c r="S308" i="7" s="1"/>
  <c r="T308" i="7" s="1"/>
  <c r="P309" i="7" a="1"/>
  <c r="P309" i="7" s="1"/>
  <c r="S309" i="7" s="1"/>
  <c r="T309" i="7" s="1"/>
  <c r="P310" i="7" a="1"/>
  <c r="P310" i="7" s="1"/>
  <c r="S310" i="7" s="1"/>
  <c r="P311" i="7" a="1"/>
  <c r="P311" i="7" s="1"/>
  <c r="S311" i="7" s="1"/>
  <c r="P312" i="7" a="1"/>
  <c r="P312" i="7" s="1"/>
  <c r="S312" i="7" s="1"/>
  <c r="P313" i="7" a="1"/>
  <c r="P313" i="7" s="1"/>
  <c r="S313" i="7" s="1"/>
  <c r="T313" i="7" s="1"/>
  <c r="P314" i="7" a="1"/>
  <c r="P314" i="7" s="1"/>
  <c r="S314" i="7" s="1"/>
  <c r="P315" i="7" a="1"/>
  <c r="P315" i="7" s="1"/>
  <c r="S315" i="7" s="1"/>
  <c r="P316" i="7" a="1"/>
  <c r="P316" i="7" s="1"/>
  <c r="S316" i="7" s="1"/>
  <c r="T316" i="7" s="1"/>
  <c r="P317" i="7" a="1"/>
  <c r="P317" i="7" s="1"/>
  <c r="S317" i="7" s="1"/>
  <c r="T317" i="7" s="1"/>
  <c r="P318" i="7" a="1"/>
  <c r="P318" i="7" s="1"/>
  <c r="S318" i="7" s="1"/>
  <c r="P319" i="7" a="1"/>
  <c r="P319" i="7" s="1"/>
  <c r="S319" i="7" s="1"/>
  <c r="P320" i="7" a="1"/>
  <c r="P320" i="7" s="1"/>
  <c r="S320" i="7" s="1"/>
  <c r="P321" i="7" a="1"/>
  <c r="P321" i="7" s="1"/>
  <c r="S321" i="7" s="1"/>
  <c r="P322" i="7" a="1"/>
  <c r="P322" i="7" s="1"/>
  <c r="S322" i="7" s="1"/>
  <c r="P323" i="7" a="1"/>
  <c r="P323" i="7" s="1"/>
  <c r="S323" i="7" s="1"/>
  <c r="P324" i="7" a="1"/>
  <c r="P324" i="7" s="1"/>
  <c r="S324" i="7" s="1"/>
  <c r="P325" i="7" a="1"/>
  <c r="P325" i="7" s="1"/>
  <c r="S325" i="7" s="1"/>
  <c r="P326" i="7" a="1"/>
  <c r="P326" i="7" s="1"/>
  <c r="S326" i="7" s="1"/>
  <c r="T326" i="7" s="1"/>
  <c r="P327" i="7" a="1"/>
  <c r="P327" i="7" s="1"/>
  <c r="S327" i="7" s="1"/>
  <c r="T327" i="7" s="1"/>
  <c r="P328" i="7" a="1"/>
  <c r="P328" i="7" s="1"/>
  <c r="S328" i="7" s="1"/>
  <c r="P329" i="7" a="1"/>
  <c r="P329" i="7" s="1"/>
  <c r="S329" i="7" s="1"/>
  <c r="P330" i="7" a="1"/>
  <c r="P330" i="7" s="1"/>
  <c r="S330" i="7" s="1"/>
  <c r="P331" i="7" a="1"/>
  <c r="P331" i="7" s="1"/>
  <c r="S331" i="7" s="1"/>
  <c r="P332" i="7" a="1"/>
  <c r="P332" i="7" s="1"/>
  <c r="S332" i="7" s="1"/>
  <c r="P333" i="7" a="1"/>
  <c r="P333" i="7" s="1"/>
  <c r="S333" i="7" s="1"/>
  <c r="P334" i="7" a="1"/>
  <c r="P334" i="7" s="1"/>
  <c r="S334" i="7" s="1"/>
  <c r="P335" i="7" a="1"/>
  <c r="P335" i="7" s="1"/>
  <c r="S335" i="7" s="1"/>
  <c r="P336" i="7" a="1"/>
  <c r="P336" i="7" s="1"/>
  <c r="S336" i="7" s="1"/>
  <c r="P337" i="7" a="1"/>
  <c r="P337" i="7" s="1"/>
  <c r="S337" i="7" s="1"/>
  <c r="P338" i="7" a="1"/>
  <c r="P338" i="7" s="1"/>
  <c r="S338" i="7" s="1"/>
  <c r="P339" i="7" a="1"/>
  <c r="P339" i="7" s="1"/>
  <c r="S339" i="7" s="1"/>
  <c r="T339" i="7" s="1"/>
  <c r="P340" i="7" a="1"/>
  <c r="P340" i="7" s="1"/>
  <c r="S340" i="7" s="1"/>
  <c r="P341" i="7" a="1"/>
  <c r="P341" i="7" s="1"/>
  <c r="S341" i="7" s="1"/>
  <c r="P342" i="7" a="1"/>
  <c r="P342" i="7" s="1"/>
  <c r="S342" i="7" s="1"/>
  <c r="P343" i="7" a="1"/>
  <c r="P343" i="7" s="1"/>
  <c r="S343" i="7" s="1"/>
  <c r="P344" i="7" a="1"/>
  <c r="P344" i="7" s="1"/>
  <c r="S344" i="7" s="1"/>
  <c r="P345" i="7" a="1"/>
  <c r="P345" i="7" s="1"/>
  <c r="S345" i="7" s="1"/>
  <c r="P346" i="7" a="1"/>
  <c r="P346" i="7" s="1"/>
  <c r="S346" i="7" s="1"/>
  <c r="P347" i="7" a="1"/>
  <c r="P347" i="7" s="1"/>
  <c r="S347" i="7" s="1"/>
  <c r="P348" i="7" a="1"/>
  <c r="P348" i="7" s="1"/>
  <c r="S348" i="7" s="1"/>
  <c r="P349" i="7" a="1"/>
  <c r="P349" i="7" s="1"/>
  <c r="S349" i="7" s="1"/>
  <c r="T349" i="7" s="1"/>
  <c r="P350" i="7" a="1"/>
  <c r="P350" i="7" s="1"/>
  <c r="S350" i="7" s="1"/>
  <c r="T350" i="7" s="1"/>
  <c r="P351" i="7" a="1"/>
  <c r="P351" i="7" s="1"/>
  <c r="S351" i="7" s="1"/>
  <c r="P352" i="7" a="1"/>
  <c r="P352" i="7" s="1"/>
  <c r="S352" i="7" s="1"/>
  <c r="T352" i="7" s="1"/>
  <c r="P353" i="7" a="1"/>
  <c r="P353" i="7" s="1"/>
  <c r="S353" i="7" s="1"/>
  <c r="P354" i="7" a="1"/>
  <c r="P354" i="7" s="1"/>
  <c r="S354" i="7" s="1"/>
  <c r="P355" i="7" a="1"/>
  <c r="P355" i="7" s="1"/>
  <c r="S355" i="7" s="1"/>
  <c r="P356" i="7" a="1"/>
  <c r="P356" i="7" s="1"/>
  <c r="S356" i="7" s="1"/>
  <c r="P357" i="7" a="1"/>
  <c r="P357" i="7" s="1"/>
  <c r="S357" i="7" s="1"/>
  <c r="P358" i="7" a="1"/>
  <c r="P358" i="7" s="1"/>
  <c r="S358" i="7" s="1"/>
  <c r="P359" i="7" a="1"/>
  <c r="P359" i="7" s="1"/>
  <c r="S359" i="7" s="1"/>
  <c r="P360" i="7" a="1"/>
  <c r="P360" i="7" s="1"/>
  <c r="S360" i="7" s="1"/>
  <c r="P361" i="7" a="1"/>
  <c r="P361" i="7" s="1"/>
  <c r="S361" i="7" s="1"/>
  <c r="T361" i="7" s="1"/>
  <c r="O2" i="7" a="1"/>
  <c r="O2" i="7" s="1"/>
  <c r="O3" i="7" a="1"/>
  <c r="O3" i="7" s="1"/>
  <c r="O4" i="7" a="1"/>
  <c r="O4" i="7" s="1"/>
  <c r="O5" i="7" a="1"/>
  <c r="O5" i="7" s="1"/>
  <c r="O6" i="7" a="1"/>
  <c r="O6" i="7" s="1"/>
  <c r="O7" i="7" a="1"/>
  <c r="O7" i="7" s="1"/>
  <c r="O8" i="7" a="1"/>
  <c r="O8" i="7" s="1"/>
  <c r="O9" i="7" a="1"/>
  <c r="O9" i="7" s="1"/>
  <c r="O10" i="7" a="1"/>
  <c r="O10" i="7" s="1"/>
  <c r="O11" i="7" a="1"/>
  <c r="O11" i="7" s="1"/>
  <c r="O12" i="7" a="1"/>
  <c r="O12" i="7" s="1"/>
  <c r="O13" i="7" a="1"/>
  <c r="O13" i="7" s="1"/>
  <c r="O14" i="7" a="1"/>
  <c r="O14" i="7" s="1"/>
  <c r="O15" i="7" a="1"/>
  <c r="O15" i="7" s="1"/>
  <c r="O16" i="7" a="1"/>
  <c r="O16" i="7" s="1"/>
  <c r="O17" i="7" a="1"/>
  <c r="O17" i="7" s="1"/>
  <c r="O18" i="7" a="1"/>
  <c r="O18" i="7" s="1"/>
  <c r="O19" i="7" a="1"/>
  <c r="O19" i="7" s="1"/>
  <c r="O20" i="7" a="1"/>
  <c r="O20" i="7" s="1"/>
  <c r="O21" i="7" a="1"/>
  <c r="O21" i="7" s="1"/>
  <c r="O22" i="7" a="1"/>
  <c r="O22" i="7" s="1"/>
  <c r="O23" i="7" a="1"/>
  <c r="O23" i="7" s="1"/>
  <c r="O24" i="7" a="1"/>
  <c r="O24" i="7" s="1"/>
  <c r="O25" i="7" a="1"/>
  <c r="O25" i="7" s="1"/>
  <c r="O26" i="7" a="1"/>
  <c r="O26" i="7" s="1"/>
  <c r="O27" i="7" a="1"/>
  <c r="O27" i="7" s="1"/>
  <c r="O28" i="7" a="1"/>
  <c r="O28" i="7" s="1"/>
  <c r="O29" i="7" a="1"/>
  <c r="O29" i="7" s="1"/>
  <c r="O30" i="7" a="1"/>
  <c r="O30" i="7" s="1"/>
  <c r="O31" i="7" a="1"/>
  <c r="O31" i="7" s="1"/>
  <c r="O32" i="7" a="1"/>
  <c r="O32" i="7" s="1"/>
  <c r="O33" i="7" a="1"/>
  <c r="O33" i="7" s="1"/>
  <c r="O34" i="7" a="1"/>
  <c r="O34" i="7" s="1"/>
  <c r="O35" i="7" a="1"/>
  <c r="O35" i="7" s="1"/>
  <c r="O36" i="7" a="1"/>
  <c r="O36" i="7" s="1"/>
  <c r="O37" i="7" a="1"/>
  <c r="O37" i="7" s="1"/>
  <c r="O38" i="7" a="1"/>
  <c r="O38" i="7" s="1"/>
  <c r="O39" i="7" a="1"/>
  <c r="O39" i="7" s="1"/>
  <c r="O40" i="7" a="1"/>
  <c r="O40" i="7" s="1"/>
  <c r="O41" i="7" a="1"/>
  <c r="O41" i="7" s="1"/>
  <c r="O42" i="7" a="1"/>
  <c r="O42" i="7" s="1"/>
  <c r="O43" i="7" a="1"/>
  <c r="O43" i="7" s="1"/>
  <c r="O44" i="7" a="1"/>
  <c r="O44" i="7" s="1"/>
  <c r="O45" i="7" a="1"/>
  <c r="O45" i="7" s="1"/>
  <c r="O46" i="7" a="1"/>
  <c r="O46" i="7" s="1"/>
  <c r="O47" i="7" a="1"/>
  <c r="O47" i="7" s="1"/>
  <c r="O48" i="7" a="1"/>
  <c r="O48" i="7" s="1"/>
  <c r="O49" i="7" a="1"/>
  <c r="O49" i="7" s="1"/>
  <c r="O50" i="7" a="1"/>
  <c r="O50" i="7" s="1"/>
  <c r="O51" i="7" a="1"/>
  <c r="O51" i="7" s="1"/>
  <c r="O52" i="7" a="1"/>
  <c r="O52" i="7" s="1"/>
  <c r="O53" i="7" a="1"/>
  <c r="O53" i="7" s="1"/>
  <c r="O54" i="7" a="1"/>
  <c r="O54" i="7" s="1"/>
  <c r="O55" i="7" a="1"/>
  <c r="O55" i="7" s="1"/>
  <c r="O56" i="7" a="1"/>
  <c r="O56" i="7" s="1"/>
  <c r="O57" i="7" a="1"/>
  <c r="O57" i="7" s="1"/>
  <c r="O58" i="7" a="1"/>
  <c r="O58" i="7" s="1"/>
  <c r="O59" i="7" a="1"/>
  <c r="O59" i="7" s="1"/>
  <c r="O60" i="7" a="1"/>
  <c r="O60" i="7" s="1"/>
  <c r="O61" i="7" a="1"/>
  <c r="O61" i="7" s="1"/>
  <c r="O62" i="7" a="1"/>
  <c r="O62" i="7" s="1"/>
  <c r="O63" i="7" a="1"/>
  <c r="O63" i="7" s="1"/>
  <c r="O64" i="7" a="1"/>
  <c r="O64" i="7" s="1"/>
  <c r="O65" i="7" a="1"/>
  <c r="O65" i="7" s="1"/>
  <c r="O66" i="7" a="1"/>
  <c r="O66" i="7" s="1"/>
  <c r="O67" i="7" a="1"/>
  <c r="O67" i="7" s="1"/>
  <c r="O68" i="7" a="1"/>
  <c r="O68" i="7" s="1"/>
  <c r="O69" i="7" a="1"/>
  <c r="O69" i="7" s="1"/>
  <c r="O70" i="7" a="1"/>
  <c r="O70" i="7" s="1"/>
  <c r="O71" i="7" a="1"/>
  <c r="O71" i="7" s="1"/>
  <c r="O72" i="7" a="1"/>
  <c r="O72" i="7" s="1"/>
  <c r="O73" i="7" a="1"/>
  <c r="O73" i="7" s="1"/>
  <c r="O74" i="7" a="1"/>
  <c r="O74" i="7" s="1"/>
  <c r="O75" i="7" a="1"/>
  <c r="O75" i="7" s="1"/>
  <c r="O76" i="7" a="1"/>
  <c r="O76" i="7" s="1"/>
  <c r="O77" i="7" a="1"/>
  <c r="O77" i="7" s="1"/>
  <c r="O78" i="7" a="1"/>
  <c r="O78" i="7" s="1"/>
  <c r="O79" i="7" a="1"/>
  <c r="O79" i="7" s="1"/>
  <c r="O80" i="7" a="1"/>
  <c r="O80" i="7" s="1"/>
  <c r="O81" i="7" a="1"/>
  <c r="O81" i="7" s="1"/>
  <c r="O82" i="7" a="1"/>
  <c r="O82" i="7" s="1"/>
  <c r="O83" i="7" a="1"/>
  <c r="O83" i="7" s="1"/>
  <c r="O84" i="7" a="1"/>
  <c r="O84" i="7" s="1"/>
  <c r="O85" i="7" a="1"/>
  <c r="O85" i="7" s="1"/>
  <c r="O86" i="7" a="1"/>
  <c r="O86" i="7" s="1"/>
  <c r="O87" i="7" a="1"/>
  <c r="O87" i="7" s="1"/>
  <c r="O88" i="7" a="1"/>
  <c r="O88" i="7" s="1"/>
  <c r="O89" i="7" a="1"/>
  <c r="O89" i="7" s="1"/>
  <c r="O90" i="7" a="1"/>
  <c r="O90" i="7" s="1"/>
  <c r="O91" i="7" a="1"/>
  <c r="O91" i="7" s="1"/>
  <c r="O92" i="7" a="1"/>
  <c r="O92" i="7" s="1"/>
  <c r="O93" i="7" a="1"/>
  <c r="O93" i="7" s="1"/>
  <c r="O94" i="7" a="1"/>
  <c r="O94" i="7" s="1"/>
  <c r="O95" i="7" a="1"/>
  <c r="O95" i="7" s="1"/>
  <c r="O96" i="7" a="1"/>
  <c r="O96" i="7" s="1"/>
  <c r="O97" i="7" a="1"/>
  <c r="O97" i="7" s="1"/>
  <c r="O98" i="7" a="1"/>
  <c r="O98" i="7" s="1"/>
  <c r="O99" i="7" a="1"/>
  <c r="O99" i="7" s="1"/>
  <c r="O100" i="7" a="1"/>
  <c r="O100" i="7" s="1"/>
  <c r="O101" i="7" a="1"/>
  <c r="O101" i="7" s="1"/>
  <c r="O102" i="7" a="1"/>
  <c r="O102" i="7" s="1"/>
  <c r="O103" i="7" a="1"/>
  <c r="O103" i="7" s="1"/>
  <c r="O104" i="7" a="1"/>
  <c r="O104" i="7" s="1"/>
  <c r="O105" i="7" a="1"/>
  <c r="O105" i="7" s="1"/>
  <c r="O106" i="7" a="1"/>
  <c r="O106" i="7" s="1"/>
  <c r="O107" i="7" a="1"/>
  <c r="O107" i="7" s="1"/>
  <c r="O108" i="7" a="1"/>
  <c r="O108" i="7" s="1"/>
  <c r="O109" i="7" a="1"/>
  <c r="O109" i="7" s="1"/>
  <c r="O110" i="7" a="1"/>
  <c r="O110" i="7" s="1"/>
  <c r="O111" i="7" a="1"/>
  <c r="O111" i="7" s="1"/>
  <c r="O112" i="7" a="1"/>
  <c r="O112" i="7" s="1"/>
  <c r="O113" i="7" a="1"/>
  <c r="O113" i="7" s="1"/>
  <c r="O114" i="7" a="1"/>
  <c r="O114" i="7" s="1"/>
  <c r="O115" i="7" a="1"/>
  <c r="O115" i="7" s="1"/>
  <c r="O116" i="7" a="1"/>
  <c r="O116" i="7" s="1"/>
  <c r="O117" i="7" a="1"/>
  <c r="O117" i="7" s="1"/>
  <c r="O118" i="7" a="1"/>
  <c r="O118" i="7" s="1"/>
  <c r="O119" i="7" a="1"/>
  <c r="O119" i="7" s="1"/>
  <c r="O120" i="7" a="1"/>
  <c r="O120" i="7" s="1"/>
  <c r="O121" i="7" a="1"/>
  <c r="O121" i="7" s="1"/>
  <c r="O122" i="7" a="1"/>
  <c r="O122" i="7" s="1"/>
  <c r="O123" i="7" a="1"/>
  <c r="O123" i="7" s="1"/>
  <c r="O124" i="7" a="1"/>
  <c r="O124" i="7" s="1"/>
  <c r="O125" i="7" a="1"/>
  <c r="O125" i="7" s="1"/>
  <c r="O126" i="7" a="1"/>
  <c r="O126" i="7" s="1"/>
  <c r="O127" i="7" a="1"/>
  <c r="O127" i="7" s="1"/>
  <c r="O128" i="7" a="1"/>
  <c r="O128" i="7" s="1"/>
  <c r="O129" i="7" a="1"/>
  <c r="O129" i="7" s="1"/>
  <c r="O130" i="7" a="1"/>
  <c r="O130" i="7" s="1"/>
  <c r="O131" i="7" a="1"/>
  <c r="O131" i="7" s="1"/>
  <c r="O132" i="7" a="1"/>
  <c r="O132" i="7" s="1"/>
  <c r="O133" i="7" a="1"/>
  <c r="O133" i="7" s="1"/>
  <c r="O134" i="7" a="1"/>
  <c r="O134" i="7" s="1"/>
  <c r="O135" i="7" a="1"/>
  <c r="O135" i="7" s="1"/>
  <c r="O136" i="7" a="1"/>
  <c r="O136" i="7" s="1"/>
  <c r="O137" i="7" a="1"/>
  <c r="O137" i="7" s="1"/>
  <c r="O138" i="7" a="1"/>
  <c r="O138" i="7" s="1"/>
  <c r="O139" i="7" a="1"/>
  <c r="O139" i="7" s="1"/>
  <c r="O140" i="7" a="1"/>
  <c r="O140" i="7" s="1"/>
  <c r="O141" i="7" a="1"/>
  <c r="O141" i="7" s="1"/>
  <c r="O142" i="7" a="1"/>
  <c r="O142" i="7" s="1"/>
  <c r="O143" i="7" a="1"/>
  <c r="O143" i="7" s="1"/>
  <c r="O144" i="7" a="1"/>
  <c r="O144" i="7" s="1"/>
  <c r="O145" i="7" a="1"/>
  <c r="O145" i="7" s="1"/>
  <c r="O146" i="7" a="1"/>
  <c r="O146" i="7" s="1"/>
  <c r="O147" i="7" a="1"/>
  <c r="O147" i="7" s="1"/>
  <c r="O148" i="7" a="1"/>
  <c r="O148" i="7" s="1"/>
  <c r="O149" i="7" a="1"/>
  <c r="O149" i="7" s="1"/>
  <c r="O150" i="7" a="1"/>
  <c r="O150" i="7" s="1"/>
  <c r="O151" i="7" a="1"/>
  <c r="O151" i="7" s="1"/>
  <c r="O152" i="7" a="1"/>
  <c r="O152" i="7" s="1"/>
  <c r="O153" i="7" a="1"/>
  <c r="O153" i="7" s="1"/>
  <c r="O154" i="7" a="1"/>
  <c r="O154" i="7" s="1"/>
  <c r="O155" i="7" a="1"/>
  <c r="O155" i="7" s="1"/>
  <c r="O156" i="7" a="1"/>
  <c r="O156" i="7" s="1"/>
  <c r="O157" i="7" a="1"/>
  <c r="O157" i="7" s="1"/>
  <c r="O158" i="7" a="1"/>
  <c r="O158" i="7" s="1"/>
  <c r="O159" i="7" a="1"/>
  <c r="O159" i="7" s="1"/>
  <c r="O160" i="7" a="1"/>
  <c r="O160" i="7" s="1"/>
  <c r="O161" i="7" a="1"/>
  <c r="O161" i="7" s="1"/>
  <c r="O162" i="7" a="1"/>
  <c r="O162" i="7" s="1"/>
  <c r="O163" i="7" a="1"/>
  <c r="O163" i="7" s="1"/>
  <c r="O164" i="7" a="1"/>
  <c r="O164" i="7" s="1"/>
  <c r="O165" i="7" a="1"/>
  <c r="O165" i="7" s="1"/>
  <c r="O166" i="7" a="1"/>
  <c r="O166" i="7" s="1"/>
  <c r="O167" i="7" a="1"/>
  <c r="O167" i="7" s="1"/>
  <c r="O168" i="7" a="1"/>
  <c r="O168" i="7" s="1"/>
  <c r="O169" i="7" a="1"/>
  <c r="O169" i="7" s="1"/>
  <c r="O170" i="7" a="1"/>
  <c r="O170" i="7" s="1"/>
  <c r="O171" i="7" a="1"/>
  <c r="O171" i="7" s="1"/>
  <c r="O172" i="7" a="1"/>
  <c r="O172" i="7" s="1"/>
  <c r="O173" i="7" a="1"/>
  <c r="O173" i="7" s="1"/>
  <c r="O174" i="7" a="1"/>
  <c r="O174" i="7" s="1"/>
  <c r="O175" i="7" a="1"/>
  <c r="O175" i="7" s="1"/>
  <c r="O176" i="7" a="1"/>
  <c r="O176" i="7" s="1"/>
  <c r="O177" i="7" a="1"/>
  <c r="O177" i="7" s="1"/>
  <c r="O178" i="7" a="1"/>
  <c r="O178" i="7" s="1"/>
  <c r="O179" i="7" a="1"/>
  <c r="O179" i="7" s="1"/>
  <c r="O180" i="7" a="1"/>
  <c r="O180" i="7" s="1"/>
  <c r="O181" i="7" a="1"/>
  <c r="O181" i="7" s="1"/>
  <c r="O182" i="7" a="1"/>
  <c r="O182" i="7" s="1"/>
  <c r="O183" i="7" a="1"/>
  <c r="O183" i="7" s="1"/>
  <c r="O184" i="7" a="1"/>
  <c r="O184" i="7" s="1"/>
  <c r="O185" i="7" a="1"/>
  <c r="O185" i="7" s="1"/>
  <c r="O186" i="7" a="1"/>
  <c r="O186" i="7" s="1"/>
  <c r="O187" i="7" a="1"/>
  <c r="O187" i="7" s="1"/>
  <c r="O188" i="7" a="1"/>
  <c r="O188" i="7" s="1"/>
  <c r="O189" i="7" a="1"/>
  <c r="O189" i="7" s="1"/>
  <c r="O190" i="7" a="1"/>
  <c r="O190" i="7" s="1"/>
  <c r="O191" i="7" a="1"/>
  <c r="O191" i="7" s="1"/>
  <c r="O192" i="7" a="1"/>
  <c r="O192" i="7" s="1"/>
  <c r="O193" i="7" a="1"/>
  <c r="O193" i="7" s="1"/>
  <c r="O194" i="7" a="1"/>
  <c r="O194" i="7" s="1"/>
  <c r="O195" i="7" a="1"/>
  <c r="O195" i="7" s="1"/>
  <c r="O196" i="7" a="1"/>
  <c r="O196" i="7" s="1"/>
  <c r="O197" i="7" a="1"/>
  <c r="O197" i="7" s="1"/>
  <c r="O198" i="7" a="1"/>
  <c r="O198" i="7" s="1"/>
  <c r="O199" i="7" a="1"/>
  <c r="O199" i="7" s="1"/>
  <c r="O200" i="7" a="1"/>
  <c r="O200" i="7" s="1"/>
  <c r="O201" i="7" a="1"/>
  <c r="O201" i="7" s="1"/>
  <c r="O202" i="7" a="1"/>
  <c r="O202" i="7" s="1"/>
  <c r="O203" i="7" a="1"/>
  <c r="O203" i="7" s="1"/>
  <c r="O204" i="7" a="1"/>
  <c r="O204" i="7" s="1"/>
  <c r="O205" i="7" a="1"/>
  <c r="O205" i="7" s="1"/>
  <c r="O206" i="7" a="1"/>
  <c r="O206" i="7" s="1"/>
  <c r="O207" i="7" a="1"/>
  <c r="O207" i="7" s="1"/>
  <c r="O208" i="7" a="1"/>
  <c r="O208" i="7" s="1"/>
  <c r="O209" i="7" a="1"/>
  <c r="O209" i="7" s="1"/>
  <c r="O210" i="7" a="1"/>
  <c r="O210" i="7" s="1"/>
  <c r="O211" i="7" a="1"/>
  <c r="O211" i="7" s="1"/>
  <c r="O212" i="7" a="1"/>
  <c r="O212" i="7" s="1"/>
  <c r="O213" i="7" a="1"/>
  <c r="O213" i="7" s="1"/>
  <c r="O214" i="7" a="1"/>
  <c r="O214" i="7" s="1"/>
  <c r="O215" i="7" a="1"/>
  <c r="O215" i="7" s="1"/>
  <c r="O216" i="7" a="1"/>
  <c r="O216" i="7" s="1"/>
  <c r="O217" i="7" a="1"/>
  <c r="O217" i="7" s="1"/>
  <c r="O218" i="7" a="1"/>
  <c r="O218" i="7" s="1"/>
  <c r="O219" i="7" a="1"/>
  <c r="O219" i="7" s="1"/>
  <c r="O220" i="7" a="1"/>
  <c r="O220" i="7" s="1"/>
  <c r="O221" i="7" a="1"/>
  <c r="O221" i="7" s="1"/>
  <c r="O222" i="7" a="1"/>
  <c r="O222" i="7" s="1"/>
  <c r="O223" i="7" a="1"/>
  <c r="O223" i="7" s="1"/>
  <c r="O224" i="7" a="1"/>
  <c r="O224" i="7" s="1"/>
  <c r="O225" i="7" a="1"/>
  <c r="O225" i="7" s="1"/>
  <c r="O226" i="7" a="1"/>
  <c r="O226" i="7" s="1"/>
  <c r="O227" i="7" a="1"/>
  <c r="O227" i="7" s="1"/>
  <c r="O228" i="7" a="1"/>
  <c r="O228" i="7" s="1"/>
  <c r="O229" i="7" a="1"/>
  <c r="O229" i="7" s="1"/>
  <c r="O230" i="7" a="1"/>
  <c r="O230" i="7" s="1"/>
  <c r="O231" i="7" a="1"/>
  <c r="O231" i="7" s="1"/>
  <c r="O232" i="7" a="1"/>
  <c r="O232" i="7" s="1"/>
  <c r="O233" i="7" a="1"/>
  <c r="O233" i="7" s="1"/>
  <c r="O234" i="7" a="1"/>
  <c r="O234" i="7" s="1"/>
  <c r="O235" i="7" a="1"/>
  <c r="O235" i="7" s="1"/>
  <c r="O236" i="7" a="1"/>
  <c r="O236" i="7" s="1"/>
  <c r="O237" i="7" a="1"/>
  <c r="O237" i="7" s="1"/>
  <c r="O238" i="7" a="1"/>
  <c r="O238" i="7" s="1"/>
  <c r="O239" i="7" a="1"/>
  <c r="O239" i="7" s="1"/>
  <c r="O240" i="7" a="1"/>
  <c r="O240" i="7" s="1"/>
  <c r="O241" i="7" a="1"/>
  <c r="O241" i="7" s="1"/>
  <c r="O242" i="7" a="1"/>
  <c r="O242" i="7" s="1"/>
  <c r="O243" i="7" a="1"/>
  <c r="O243" i="7" s="1"/>
  <c r="O244" i="7" a="1"/>
  <c r="O244" i="7" s="1"/>
  <c r="O245" i="7" a="1"/>
  <c r="O245" i="7" s="1"/>
  <c r="O246" i="7" a="1"/>
  <c r="O246" i="7" s="1"/>
  <c r="O247" i="7" a="1"/>
  <c r="O247" i="7" s="1"/>
  <c r="O248" i="7" a="1"/>
  <c r="O248" i="7" s="1"/>
  <c r="O249" i="7" a="1"/>
  <c r="O249" i="7" s="1"/>
  <c r="O250" i="7" a="1"/>
  <c r="O250" i="7" s="1"/>
  <c r="O251" i="7" a="1"/>
  <c r="O251" i="7" s="1"/>
  <c r="O252" i="7" a="1"/>
  <c r="O252" i="7" s="1"/>
  <c r="O253" i="7" a="1"/>
  <c r="O253" i="7" s="1"/>
  <c r="O254" i="7" a="1"/>
  <c r="O254" i="7" s="1"/>
  <c r="O255" i="7" a="1"/>
  <c r="O255" i="7" s="1"/>
  <c r="O256" i="7" a="1"/>
  <c r="O256" i="7" s="1"/>
  <c r="O257" i="7" a="1"/>
  <c r="O257" i="7" s="1"/>
  <c r="O258" i="7" a="1"/>
  <c r="O258" i="7" s="1"/>
  <c r="O259" i="7" a="1"/>
  <c r="O259" i="7" s="1"/>
  <c r="O260" i="7" a="1"/>
  <c r="O260" i="7" s="1"/>
  <c r="O261" i="7" a="1"/>
  <c r="O261" i="7" s="1"/>
  <c r="O262" i="7" a="1"/>
  <c r="O262" i="7" s="1"/>
  <c r="O263" i="7" a="1"/>
  <c r="O263" i="7" s="1"/>
  <c r="O264" i="7" a="1"/>
  <c r="O264" i="7" s="1"/>
  <c r="O265" i="7" a="1"/>
  <c r="O265" i="7" s="1"/>
  <c r="O266" i="7" a="1"/>
  <c r="O266" i="7" s="1"/>
  <c r="O267" i="7" a="1"/>
  <c r="O267" i="7" s="1"/>
  <c r="O268" i="7" a="1"/>
  <c r="O268" i="7" s="1"/>
  <c r="O269" i="7" a="1"/>
  <c r="O269" i="7" s="1"/>
  <c r="O270" i="7" a="1"/>
  <c r="O270" i="7" s="1"/>
  <c r="O271" i="7" a="1"/>
  <c r="O271" i="7" s="1"/>
  <c r="O272" i="7" a="1"/>
  <c r="O272" i="7" s="1"/>
  <c r="O273" i="7" a="1"/>
  <c r="O273" i="7" s="1"/>
  <c r="O274" i="7" a="1"/>
  <c r="O274" i="7" s="1"/>
  <c r="O275" i="7" a="1"/>
  <c r="O275" i="7" s="1"/>
  <c r="O276" i="7" a="1"/>
  <c r="O276" i="7" s="1"/>
  <c r="O277" i="7" a="1"/>
  <c r="O277" i="7" s="1"/>
  <c r="O278" i="7" a="1"/>
  <c r="O278" i="7" s="1"/>
  <c r="O279" i="7" a="1"/>
  <c r="O279" i="7" s="1"/>
  <c r="O280" i="7" a="1"/>
  <c r="O280" i="7" s="1"/>
  <c r="O281" i="7" a="1"/>
  <c r="O281" i="7" s="1"/>
  <c r="O282" i="7" a="1"/>
  <c r="O282" i="7" s="1"/>
  <c r="O283" i="7" a="1"/>
  <c r="O283" i="7" s="1"/>
  <c r="O284" i="7" a="1"/>
  <c r="O284" i="7" s="1"/>
  <c r="O285" i="7" a="1"/>
  <c r="O285" i="7" s="1"/>
  <c r="O286" i="7" a="1"/>
  <c r="O286" i="7" s="1"/>
  <c r="O287" i="7" a="1"/>
  <c r="O287" i="7" s="1"/>
  <c r="O288" i="7" a="1"/>
  <c r="O288" i="7" s="1"/>
  <c r="O289" i="7" a="1"/>
  <c r="O289" i="7" s="1"/>
  <c r="O290" i="7" a="1"/>
  <c r="O290" i="7" s="1"/>
  <c r="O291" i="7" a="1"/>
  <c r="O291" i="7" s="1"/>
  <c r="O292" i="7" a="1"/>
  <c r="O292" i="7" s="1"/>
  <c r="O293" i="7" a="1"/>
  <c r="O293" i="7" s="1"/>
  <c r="O294" i="7" a="1"/>
  <c r="O294" i="7" s="1"/>
  <c r="O295" i="7" a="1"/>
  <c r="O295" i="7" s="1"/>
  <c r="O296" i="7" a="1"/>
  <c r="O296" i="7" s="1"/>
  <c r="O297" i="7" a="1"/>
  <c r="O297" i="7" s="1"/>
  <c r="O298" i="7" a="1"/>
  <c r="O298" i="7" s="1"/>
  <c r="O299" i="7" a="1"/>
  <c r="O299" i="7" s="1"/>
  <c r="O300" i="7" a="1"/>
  <c r="O300" i="7" s="1"/>
  <c r="O301" i="7" a="1"/>
  <c r="O301" i="7" s="1"/>
  <c r="O302" i="7" a="1"/>
  <c r="O302" i="7" s="1"/>
  <c r="O303" i="7" a="1"/>
  <c r="O303" i="7" s="1"/>
  <c r="O304" i="7" a="1"/>
  <c r="O304" i="7" s="1"/>
  <c r="O305" i="7" a="1"/>
  <c r="O305" i="7" s="1"/>
  <c r="O306" i="7" a="1"/>
  <c r="O306" i="7" s="1"/>
  <c r="O307" i="7" a="1"/>
  <c r="O307" i="7" s="1"/>
  <c r="O308" i="7" a="1"/>
  <c r="O308" i="7" s="1"/>
  <c r="O309" i="7" a="1"/>
  <c r="O309" i="7" s="1"/>
  <c r="O310" i="7" a="1"/>
  <c r="O310" i="7" s="1"/>
  <c r="O311" i="7" a="1"/>
  <c r="O311" i="7" s="1"/>
  <c r="O312" i="7" a="1"/>
  <c r="O312" i="7" s="1"/>
  <c r="O313" i="7" a="1"/>
  <c r="O313" i="7" s="1"/>
  <c r="O314" i="7" a="1"/>
  <c r="O314" i="7" s="1"/>
  <c r="O315" i="7" a="1"/>
  <c r="O315" i="7" s="1"/>
  <c r="O316" i="7" a="1"/>
  <c r="O316" i="7" s="1"/>
  <c r="O317" i="7" a="1"/>
  <c r="O317" i="7" s="1"/>
  <c r="O318" i="7" a="1"/>
  <c r="O318" i="7" s="1"/>
  <c r="O319" i="7" a="1"/>
  <c r="O319" i="7" s="1"/>
  <c r="O320" i="7" a="1"/>
  <c r="O320" i="7" s="1"/>
  <c r="O321" i="7" a="1"/>
  <c r="O321" i="7" s="1"/>
  <c r="O322" i="7" a="1"/>
  <c r="O322" i="7" s="1"/>
  <c r="O323" i="7" a="1"/>
  <c r="O323" i="7" s="1"/>
  <c r="O324" i="7" a="1"/>
  <c r="O324" i="7" s="1"/>
  <c r="O325" i="7" a="1"/>
  <c r="O325" i="7" s="1"/>
  <c r="O326" i="7" a="1"/>
  <c r="O326" i="7" s="1"/>
  <c r="O327" i="7" a="1"/>
  <c r="O327" i="7" s="1"/>
  <c r="O328" i="7" a="1"/>
  <c r="O328" i="7" s="1"/>
  <c r="O329" i="7" a="1"/>
  <c r="O329" i="7" s="1"/>
  <c r="O330" i="7" a="1"/>
  <c r="O330" i="7" s="1"/>
  <c r="O331" i="7" a="1"/>
  <c r="O331" i="7" s="1"/>
  <c r="O332" i="7" a="1"/>
  <c r="O332" i="7" s="1"/>
  <c r="O333" i="7" a="1"/>
  <c r="O333" i="7" s="1"/>
  <c r="O334" i="7" a="1"/>
  <c r="O334" i="7" s="1"/>
  <c r="O335" i="7" a="1"/>
  <c r="O335" i="7" s="1"/>
  <c r="O336" i="7" a="1"/>
  <c r="O336" i="7" s="1"/>
  <c r="O337" i="7" a="1"/>
  <c r="O337" i="7" s="1"/>
  <c r="O338" i="7" a="1"/>
  <c r="O338" i="7" s="1"/>
  <c r="O339" i="7" a="1"/>
  <c r="O339" i="7" s="1"/>
  <c r="O340" i="7" a="1"/>
  <c r="O340" i="7" s="1"/>
  <c r="O341" i="7" a="1"/>
  <c r="O341" i="7" s="1"/>
  <c r="O342" i="7" a="1"/>
  <c r="O342" i="7" s="1"/>
  <c r="O343" i="7" a="1"/>
  <c r="O343" i="7" s="1"/>
  <c r="O344" i="7" a="1"/>
  <c r="O344" i="7" s="1"/>
  <c r="O345" i="7" a="1"/>
  <c r="O345" i="7" s="1"/>
  <c r="O346" i="7" a="1"/>
  <c r="O346" i="7" s="1"/>
  <c r="O347" i="7" a="1"/>
  <c r="O347" i="7" s="1"/>
  <c r="O348" i="7" a="1"/>
  <c r="O348" i="7" s="1"/>
  <c r="O349" i="7" a="1"/>
  <c r="O349" i="7" s="1"/>
  <c r="O350" i="7" a="1"/>
  <c r="O350" i="7" s="1"/>
  <c r="O351" i="7" a="1"/>
  <c r="O351" i="7" s="1"/>
  <c r="O352" i="7" a="1"/>
  <c r="O352" i="7" s="1"/>
  <c r="O353" i="7" a="1"/>
  <c r="O353" i="7" s="1"/>
  <c r="O354" i="7" a="1"/>
  <c r="O354" i="7" s="1"/>
  <c r="O355" i="7" a="1"/>
  <c r="O355" i="7" s="1"/>
  <c r="O356" i="7" a="1"/>
  <c r="O356" i="7" s="1"/>
  <c r="O357" i="7" a="1"/>
  <c r="O357" i="7" s="1"/>
  <c r="O358" i="7" a="1"/>
  <c r="O358" i="7" s="1"/>
  <c r="O359" i="7" a="1"/>
  <c r="O359" i="7" s="1"/>
  <c r="O360" i="7" a="1"/>
  <c r="O360" i="7" s="1"/>
  <c r="O361" i="7" a="1"/>
  <c r="O361" i="7" s="1"/>
  <c r="N2" i="7" a="1"/>
  <c r="N2" i="7" s="1"/>
  <c r="N3" i="7" a="1"/>
  <c r="N3" i="7" s="1"/>
  <c r="N4" i="7" a="1"/>
  <c r="N4" i="7" s="1"/>
  <c r="N5" i="7" a="1"/>
  <c r="N5" i="7" s="1"/>
  <c r="N6" i="7" a="1"/>
  <c r="N6" i="7" s="1"/>
  <c r="N7" i="7" a="1"/>
  <c r="N7" i="7" s="1"/>
  <c r="N8" i="7" a="1"/>
  <c r="N8" i="7" s="1"/>
  <c r="N9" i="7" a="1"/>
  <c r="N9" i="7" s="1"/>
  <c r="N10" i="7" a="1"/>
  <c r="N10" i="7" s="1"/>
  <c r="N11" i="7" a="1"/>
  <c r="N11" i="7" s="1"/>
  <c r="N12" i="7" a="1"/>
  <c r="N12" i="7" s="1"/>
  <c r="N13" i="7" a="1"/>
  <c r="N13" i="7" s="1"/>
  <c r="N14" i="7" a="1"/>
  <c r="N14" i="7" s="1"/>
  <c r="N15" i="7" a="1"/>
  <c r="N15" i="7" s="1"/>
  <c r="N16" i="7" a="1"/>
  <c r="N16" i="7" s="1"/>
  <c r="N17" i="7" a="1"/>
  <c r="N17" i="7" s="1"/>
  <c r="N18" i="7" a="1"/>
  <c r="N18" i="7" s="1"/>
  <c r="N19" i="7" a="1"/>
  <c r="N19" i="7" s="1"/>
  <c r="N20" i="7" a="1"/>
  <c r="N20" i="7" s="1"/>
  <c r="N21" i="7" a="1"/>
  <c r="N21" i="7" s="1"/>
  <c r="N22" i="7" a="1"/>
  <c r="N22" i="7" s="1"/>
  <c r="N23" i="7" a="1"/>
  <c r="N23" i="7" s="1"/>
  <c r="N24" i="7" a="1"/>
  <c r="N24" i="7" s="1"/>
  <c r="N25" i="7" a="1"/>
  <c r="N25" i="7" s="1"/>
  <c r="N26" i="7" a="1"/>
  <c r="N26" i="7" s="1"/>
  <c r="N27" i="7" a="1"/>
  <c r="N27" i="7" s="1"/>
  <c r="N28" i="7" a="1"/>
  <c r="N28" i="7" s="1"/>
  <c r="N29" i="7" a="1"/>
  <c r="N29" i="7" s="1"/>
  <c r="N30" i="7" a="1"/>
  <c r="N30" i="7" s="1"/>
  <c r="N31" i="7" a="1"/>
  <c r="N31" i="7" s="1"/>
  <c r="N32" i="7" a="1"/>
  <c r="N32" i="7" s="1"/>
  <c r="N33" i="7" a="1"/>
  <c r="N33" i="7" s="1"/>
  <c r="N34" i="7" a="1"/>
  <c r="N34" i="7" s="1"/>
  <c r="N35" i="7" a="1"/>
  <c r="N35" i="7" s="1"/>
  <c r="N36" i="7" a="1"/>
  <c r="N36" i="7" s="1"/>
  <c r="N37" i="7" a="1"/>
  <c r="N37" i="7" s="1"/>
  <c r="N38" i="7" a="1"/>
  <c r="N38" i="7" s="1"/>
  <c r="N39" i="7" a="1"/>
  <c r="N39" i="7" s="1"/>
  <c r="N40" i="7" a="1"/>
  <c r="N40" i="7" s="1"/>
  <c r="N41" i="7" a="1"/>
  <c r="N41" i="7" s="1"/>
  <c r="N42" i="7" a="1"/>
  <c r="N42" i="7" s="1"/>
  <c r="N43" i="7" a="1"/>
  <c r="N43" i="7" s="1"/>
  <c r="N44" i="7" a="1"/>
  <c r="N44" i="7" s="1"/>
  <c r="N45" i="7" a="1"/>
  <c r="N45" i="7" s="1"/>
  <c r="N46" i="7" a="1"/>
  <c r="N46" i="7" s="1"/>
  <c r="N47" i="7" a="1"/>
  <c r="N47" i="7" s="1"/>
  <c r="N48" i="7" a="1"/>
  <c r="N48" i="7" s="1"/>
  <c r="N49" i="7" a="1"/>
  <c r="N49" i="7" s="1"/>
  <c r="N50" i="7" a="1"/>
  <c r="N50" i="7" s="1"/>
  <c r="N51" i="7" a="1"/>
  <c r="N51" i="7" s="1"/>
  <c r="N52" i="7" a="1"/>
  <c r="N52" i="7" s="1"/>
  <c r="N53" i="7" a="1"/>
  <c r="N53" i="7" s="1"/>
  <c r="N54" i="7" a="1"/>
  <c r="N54" i="7" s="1"/>
  <c r="N55" i="7" a="1"/>
  <c r="N55" i="7" s="1"/>
  <c r="N56" i="7" a="1"/>
  <c r="N56" i="7" s="1"/>
  <c r="N57" i="7" a="1"/>
  <c r="N57" i="7" s="1"/>
  <c r="N58" i="7" a="1"/>
  <c r="N58" i="7" s="1"/>
  <c r="N59" i="7" a="1"/>
  <c r="N59" i="7" s="1"/>
  <c r="N60" i="7" a="1"/>
  <c r="N60" i="7" s="1"/>
  <c r="N61" i="7" a="1"/>
  <c r="N61" i="7" s="1"/>
  <c r="N62" i="7" a="1"/>
  <c r="N62" i="7" s="1"/>
  <c r="N63" i="7" a="1"/>
  <c r="N63" i="7" s="1"/>
  <c r="N64" i="7" a="1"/>
  <c r="N64" i="7" s="1"/>
  <c r="N65" i="7" a="1"/>
  <c r="N65" i="7" s="1"/>
  <c r="N66" i="7" a="1"/>
  <c r="N66" i="7" s="1"/>
  <c r="N67" i="7" a="1"/>
  <c r="N67" i="7" s="1"/>
  <c r="N68" i="7" a="1"/>
  <c r="N68" i="7" s="1"/>
  <c r="N69" i="7" a="1"/>
  <c r="N69" i="7" s="1"/>
  <c r="N70" i="7" a="1"/>
  <c r="N70" i="7" s="1"/>
  <c r="N71" i="7" a="1"/>
  <c r="N71" i="7" s="1"/>
  <c r="N72" i="7" a="1"/>
  <c r="N72" i="7" s="1"/>
  <c r="N73" i="7" a="1"/>
  <c r="N73" i="7" s="1"/>
  <c r="N74" i="7" a="1"/>
  <c r="N74" i="7" s="1"/>
  <c r="N75" i="7" a="1"/>
  <c r="N75" i="7" s="1"/>
  <c r="N76" i="7" a="1"/>
  <c r="N76" i="7" s="1"/>
  <c r="N77" i="7" a="1"/>
  <c r="N77" i="7" s="1"/>
  <c r="N78" i="7" a="1"/>
  <c r="N78" i="7" s="1"/>
  <c r="N79" i="7" a="1"/>
  <c r="N79" i="7" s="1"/>
  <c r="N80" i="7" a="1"/>
  <c r="N80" i="7" s="1"/>
  <c r="N81" i="7" a="1"/>
  <c r="N81" i="7" s="1"/>
  <c r="N82" i="7" a="1"/>
  <c r="N82" i="7" s="1"/>
  <c r="N83" i="7" a="1"/>
  <c r="N83" i="7" s="1"/>
  <c r="N84" i="7" a="1"/>
  <c r="N84" i="7" s="1"/>
  <c r="N85" i="7" a="1"/>
  <c r="N85" i="7" s="1"/>
  <c r="N86" i="7" a="1"/>
  <c r="N86" i="7" s="1"/>
  <c r="N87" i="7" a="1"/>
  <c r="N87" i="7" s="1"/>
  <c r="N88" i="7" a="1"/>
  <c r="N88" i="7" s="1"/>
  <c r="N89" i="7" a="1"/>
  <c r="N89" i="7" s="1"/>
  <c r="N90" i="7" a="1"/>
  <c r="N90" i="7" s="1"/>
  <c r="N91" i="7" a="1"/>
  <c r="N91" i="7" s="1"/>
  <c r="N92" i="7" a="1"/>
  <c r="N92" i="7" s="1"/>
  <c r="N93" i="7" a="1"/>
  <c r="N93" i="7" s="1"/>
  <c r="N94" i="7" a="1"/>
  <c r="N94" i="7" s="1"/>
  <c r="N95" i="7" a="1"/>
  <c r="N95" i="7" s="1"/>
  <c r="N96" i="7" a="1"/>
  <c r="N96" i="7" s="1"/>
  <c r="N97" i="7" a="1"/>
  <c r="N97" i="7" s="1"/>
  <c r="N98" i="7" a="1"/>
  <c r="N98" i="7" s="1"/>
  <c r="N99" i="7" a="1"/>
  <c r="N99" i="7" s="1"/>
  <c r="N100" i="7" a="1"/>
  <c r="N100" i="7" s="1"/>
  <c r="N101" i="7" a="1"/>
  <c r="N101" i="7" s="1"/>
  <c r="N102" i="7" a="1"/>
  <c r="N102" i="7" s="1"/>
  <c r="N103" i="7" a="1"/>
  <c r="N103" i="7" s="1"/>
  <c r="N104" i="7" a="1"/>
  <c r="N104" i="7" s="1"/>
  <c r="N105" i="7" a="1"/>
  <c r="N105" i="7" s="1"/>
  <c r="N106" i="7" a="1"/>
  <c r="N106" i="7" s="1"/>
  <c r="N107" i="7" a="1"/>
  <c r="N107" i="7" s="1"/>
  <c r="N108" i="7" a="1"/>
  <c r="N108" i="7" s="1"/>
  <c r="N109" i="7" a="1"/>
  <c r="N109" i="7" s="1"/>
  <c r="N110" i="7" a="1"/>
  <c r="N110" i="7" s="1"/>
  <c r="N111" i="7" a="1"/>
  <c r="N111" i="7" s="1"/>
  <c r="N112" i="7" a="1"/>
  <c r="N112" i="7" s="1"/>
  <c r="N113" i="7" a="1"/>
  <c r="N113" i="7" s="1"/>
  <c r="N114" i="7" a="1"/>
  <c r="N114" i="7" s="1"/>
  <c r="N115" i="7" a="1"/>
  <c r="N115" i="7" s="1"/>
  <c r="N116" i="7" a="1"/>
  <c r="N116" i="7" s="1"/>
  <c r="N117" i="7" a="1"/>
  <c r="N117" i="7" s="1"/>
  <c r="N118" i="7" a="1"/>
  <c r="N118" i="7" s="1"/>
  <c r="N119" i="7" a="1"/>
  <c r="N119" i="7" s="1"/>
  <c r="N120" i="7" a="1"/>
  <c r="N120" i="7" s="1"/>
  <c r="N121" i="7" a="1"/>
  <c r="N121" i="7" s="1"/>
  <c r="N122" i="7" a="1"/>
  <c r="N122" i="7" s="1"/>
  <c r="N123" i="7" a="1"/>
  <c r="N123" i="7" s="1"/>
  <c r="N124" i="7" a="1"/>
  <c r="N124" i="7" s="1"/>
  <c r="N125" i="7" a="1"/>
  <c r="N125" i="7" s="1"/>
  <c r="N126" i="7" a="1"/>
  <c r="N126" i="7" s="1"/>
  <c r="N127" i="7" a="1"/>
  <c r="N127" i="7" s="1"/>
  <c r="N128" i="7" a="1"/>
  <c r="N128" i="7" s="1"/>
  <c r="N129" i="7" a="1"/>
  <c r="N129" i="7" s="1"/>
  <c r="N130" i="7" a="1"/>
  <c r="N130" i="7" s="1"/>
  <c r="N131" i="7" a="1"/>
  <c r="N131" i="7" s="1"/>
  <c r="N132" i="7" a="1"/>
  <c r="N132" i="7" s="1"/>
  <c r="N133" i="7" a="1"/>
  <c r="N133" i="7" s="1"/>
  <c r="N134" i="7" a="1"/>
  <c r="N134" i="7" s="1"/>
  <c r="N135" i="7" a="1"/>
  <c r="N135" i="7" s="1"/>
  <c r="N136" i="7" a="1"/>
  <c r="N136" i="7" s="1"/>
  <c r="N137" i="7" a="1"/>
  <c r="N137" i="7" s="1"/>
  <c r="N138" i="7" a="1"/>
  <c r="N138" i="7" s="1"/>
  <c r="N139" i="7" a="1"/>
  <c r="N139" i="7" s="1"/>
  <c r="N140" i="7" a="1"/>
  <c r="N140" i="7" s="1"/>
  <c r="N141" i="7" a="1"/>
  <c r="N141" i="7" s="1"/>
  <c r="N142" i="7" a="1"/>
  <c r="N142" i="7" s="1"/>
  <c r="N143" i="7" a="1"/>
  <c r="N143" i="7" s="1"/>
  <c r="N144" i="7" a="1"/>
  <c r="N144" i="7" s="1"/>
  <c r="N145" i="7" a="1"/>
  <c r="N145" i="7" s="1"/>
  <c r="N146" i="7" a="1"/>
  <c r="N146" i="7" s="1"/>
  <c r="N147" i="7" a="1"/>
  <c r="N147" i="7" s="1"/>
  <c r="N148" i="7" a="1"/>
  <c r="N148" i="7" s="1"/>
  <c r="N149" i="7" a="1"/>
  <c r="N149" i="7" s="1"/>
  <c r="N150" i="7" a="1"/>
  <c r="N150" i="7" s="1"/>
  <c r="N151" i="7" a="1"/>
  <c r="N151" i="7" s="1"/>
  <c r="N152" i="7" a="1"/>
  <c r="N152" i="7" s="1"/>
  <c r="N153" i="7" a="1"/>
  <c r="N153" i="7" s="1"/>
  <c r="N154" i="7" a="1"/>
  <c r="N154" i="7" s="1"/>
  <c r="N155" i="7" a="1"/>
  <c r="N155" i="7" s="1"/>
  <c r="N156" i="7" a="1"/>
  <c r="N156" i="7" s="1"/>
  <c r="N157" i="7" a="1"/>
  <c r="N157" i="7" s="1"/>
  <c r="N158" i="7" a="1"/>
  <c r="N158" i="7" s="1"/>
  <c r="N159" i="7" a="1"/>
  <c r="N159" i="7" s="1"/>
  <c r="N160" i="7" a="1"/>
  <c r="N160" i="7" s="1"/>
  <c r="N161" i="7" a="1"/>
  <c r="N161" i="7" s="1"/>
  <c r="N162" i="7" a="1"/>
  <c r="N162" i="7" s="1"/>
  <c r="N163" i="7" a="1"/>
  <c r="N163" i="7" s="1"/>
  <c r="N164" i="7" a="1"/>
  <c r="N164" i="7" s="1"/>
  <c r="N165" i="7" a="1"/>
  <c r="N165" i="7" s="1"/>
  <c r="N166" i="7" a="1"/>
  <c r="N166" i="7" s="1"/>
  <c r="N167" i="7" a="1"/>
  <c r="N167" i="7" s="1"/>
  <c r="N168" i="7" a="1"/>
  <c r="N168" i="7" s="1"/>
  <c r="N169" i="7" a="1"/>
  <c r="N169" i="7" s="1"/>
  <c r="N170" i="7" a="1"/>
  <c r="N170" i="7" s="1"/>
  <c r="N171" i="7" a="1"/>
  <c r="N171" i="7" s="1"/>
  <c r="N172" i="7" a="1"/>
  <c r="N172" i="7" s="1"/>
  <c r="N173" i="7" a="1"/>
  <c r="N173" i="7" s="1"/>
  <c r="N174" i="7" a="1"/>
  <c r="N174" i="7" s="1"/>
  <c r="N175" i="7" a="1"/>
  <c r="N175" i="7" s="1"/>
  <c r="N176" i="7" a="1"/>
  <c r="N176" i="7" s="1"/>
  <c r="N177" i="7" a="1"/>
  <c r="N177" i="7" s="1"/>
  <c r="N178" i="7" a="1"/>
  <c r="N178" i="7" s="1"/>
  <c r="N179" i="7" a="1"/>
  <c r="N179" i="7" s="1"/>
  <c r="N180" i="7" a="1"/>
  <c r="N180" i="7" s="1"/>
  <c r="N181" i="7" a="1"/>
  <c r="N181" i="7" s="1"/>
  <c r="N182" i="7" a="1"/>
  <c r="N182" i="7" s="1"/>
  <c r="N183" i="7" a="1"/>
  <c r="N183" i="7" s="1"/>
  <c r="N184" i="7" a="1"/>
  <c r="N184" i="7" s="1"/>
  <c r="N185" i="7" a="1"/>
  <c r="N185" i="7" s="1"/>
  <c r="N186" i="7" a="1"/>
  <c r="N186" i="7" s="1"/>
  <c r="N187" i="7" a="1"/>
  <c r="N187" i="7" s="1"/>
  <c r="N188" i="7" a="1"/>
  <c r="N188" i="7" s="1"/>
  <c r="N189" i="7" a="1"/>
  <c r="N189" i="7" s="1"/>
  <c r="N190" i="7" a="1"/>
  <c r="N190" i="7" s="1"/>
  <c r="N191" i="7" a="1"/>
  <c r="N191" i="7" s="1"/>
  <c r="N192" i="7" a="1"/>
  <c r="N192" i="7" s="1"/>
  <c r="N193" i="7" a="1"/>
  <c r="N193" i="7" s="1"/>
  <c r="N194" i="7" a="1"/>
  <c r="N194" i="7" s="1"/>
  <c r="N195" i="7" a="1"/>
  <c r="N195" i="7" s="1"/>
  <c r="N196" i="7" a="1"/>
  <c r="N196" i="7" s="1"/>
  <c r="N197" i="7" a="1"/>
  <c r="N197" i="7" s="1"/>
  <c r="N198" i="7" a="1"/>
  <c r="N198" i="7" s="1"/>
  <c r="N199" i="7" a="1"/>
  <c r="N199" i="7" s="1"/>
  <c r="N200" i="7" a="1"/>
  <c r="N200" i="7" s="1"/>
  <c r="N201" i="7" a="1"/>
  <c r="N201" i="7" s="1"/>
  <c r="N202" i="7" a="1"/>
  <c r="N202" i="7" s="1"/>
  <c r="N203" i="7" a="1"/>
  <c r="N203" i="7" s="1"/>
  <c r="N204" i="7" a="1"/>
  <c r="N204" i="7" s="1"/>
  <c r="N205" i="7" a="1"/>
  <c r="N205" i="7" s="1"/>
  <c r="N206" i="7" a="1"/>
  <c r="N206" i="7" s="1"/>
  <c r="N207" i="7" a="1"/>
  <c r="N207" i="7" s="1"/>
  <c r="N208" i="7" a="1"/>
  <c r="N208" i="7" s="1"/>
  <c r="N209" i="7" a="1"/>
  <c r="N209" i="7" s="1"/>
  <c r="N210" i="7" a="1"/>
  <c r="N210" i="7" s="1"/>
  <c r="N211" i="7" a="1"/>
  <c r="N211" i="7" s="1"/>
  <c r="N212" i="7" a="1"/>
  <c r="N212" i="7" s="1"/>
  <c r="N213" i="7" a="1"/>
  <c r="N213" i="7" s="1"/>
  <c r="N214" i="7" a="1"/>
  <c r="N214" i="7" s="1"/>
  <c r="N215" i="7" a="1"/>
  <c r="N215" i="7" s="1"/>
  <c r="N216" i="7" a="1"/>
  <c r="N216" i="7" s="1"/>
  <c r="N217" i="7" a="1"/>
  <c r="N217" i="7" s="1"/>
  <c r="N218" i="7" a="1"/>
  <c r="N218" i="7" s="1"/>
  <c r="N219" i="7" a="1"/>
  <c r="N219" i="7" s="1"/>
  <c r="N220" i="7" a="1"/>
  <c r="N220" i="7" s="1"/>
  <c r="N221" i="7" a="1"/>
  <c r="N221" i="7" s="1"/>
  <c r="N222" i="7" a="1"/>
  <c r="N222" i="7" s="1"/>
  <c r="N223" i="7" a="1"/>
  <c r="N223" i="7" s="1"/>
  <c r="N224" i="7" a="1"/>
  <c r="N224" i="7" s="1"/>
  <c r="N225" i="7" a="1"/>
  <c r="N225" i="7" s="1"/>
  <c r="N226" i="7" a="1"/>
  <c r="N226" i="7" s="1"/>
  <c r="N227" i="7" a="1"/>
  <c r="N227" i="7" s="1"/>
  <c r="N228" i="7" a="1"/>
  <c r="N228" i="7" s="1"/>
  <c r="N229" i="7" a="1"/>
  <c r="N229" i="7" s="1"/>
  <c r="N230" i="7" a="1"/>
  <c r="N230" i="7" s="1"/>
  <c r="N231" i="7" a="1"/>
  <c r="N231" i="7" s="1"/>
  <c r="N232" i="7" a="1"/>
  <c r="N232" i="7" s="1"/>
  <c r="N233" i="7" a="1"/>
  <c r="N233" i="7" s="1"/>
  <c r="N234" i="7" a="1"/>
  <c r="N234" i="7" s="1"/>
  <c r="N235" i="7" a="1"/>
  <c r="N235" i="7" s="1"/>
  <c r="N236" i="7" a="1"/>
  <c r="N236" i="7" s="1"/>
  <c r="N237" i="7" a="1"/>
  <c r="N237" i="7" s="1"/>
  <c r="N238" i="7" a="1"/>
  <c r="N238" i="7" s="1"/>
  <c r="N239" i="7" a="1"/>
  <c r="N239" i="7" s="1"/>
  <c r="N240" i="7" a="1"/>
  <c r="N240" i="7" s="1"/>
  <c r="N241" i="7" a="1"/>
  <c r="N241" i="7" s="1"/>
  <c r="N242" i="7" a="1"/>
  <c r="N242" i="7" s="1"/>
  <c r="N243" i="7" a="1"/>
  <c r="N243" i="7" s="1"/>
  <c r="N244" i="7" a="1"/>
  <c r="N244" i="7" s="1"/>
  <c r="N245" i="7" a="1"/>
  <c r="N245" i="7" s="1"/>
  <c r="N246" i="7" a="1"/>
  <c r="N246" i="7" s="1"/>
  <c r="N247" i="7" a="1"/>
  <c r="N247" i="7" s="1"/>
  <c r="N248" i="7" a="1"/>
  <c r="N248" i="7" s="1"/>
  <c r="N249" i="7" a="1"/>
  <c r="N249" i="7" s="1"/>
  <c r="N250" i="7" a="1"/>
  <c r="N250" i="7" s="1"/>
  <c r="N251" i="7" a="1"/>
  <c r="N251" i="7" s="1"/>
  <c r="N252" i="7" a="1"/>
  <c r="N252" i="7" s="1"/>
  <c r="N253" i="7" a="1"/>
  <c r="N253" i="7" s="1"/>
  <c r="N254" i="7" a="1"/>
  <c r="N254" i="7" s="1"/>
  <c r="N255" i="7" a="1"/>
  <c r="N255" i="7" s="1"/>
  <c r="N256" i="7" a="1"/>
  <c r="N256" i="7" s="1"/>
  <c r="N257" i="7" a="1"/>
  <c r="N257" i="7" s="1"/>
  <c r="N258" i="7" a="1"/>
  <c r="N258" i="7" s="1"/>
  <c r="N259" i="7" a="1"/>
  <c r="N259" i="7" s="1"/>
  <c r="N260" i="7" a="1"/>
  <c r="N260" i="7" s="1"/>
  <c r="N261" i="7" a="1"/>
  <c r="N261" i="7" s="1"/>
  <c r="N262" i="7" a="1"/>
  <c r="N262" i="7" s="1"/>
  <c r="N263" i="7" a="1"/>
  <c r="N263" i="7" s="1"/>
  <c r="N264" i="7" a="1"/>
  <c r="N264" i="7" s="1"/>
  <c r="N265" i="7" a="1"/>
  <c r="N265" i="7" s="1"/>
  <c r="N266" i="7" a="1"/>
  <c r="N266" i="7" s="1"/>
  <c r="N267" i="7" a="1"/>
  <c r="N267" i="7" s="1"/>
  <c r="N268" i="7" a="1"/>
  <c r="N268" i="7" s="1"/>
  <c r="N269" i="7" a="1"/>
  <c r="N269" i="7" s="1"/>
  <c r="N270" i="7" a="1"/>
  <c r="N270" i="7" s="1"/>
  <c r="N271" i="7" a="1"/>
  <c r="N271" i="7" s="1"/>
  <c r="N272" i="7" a="1"/>
  <c r="N272" i="7" s="1"/>
  <c r="N273" i="7" a="1"/>
  <c r="N273" i="7" s="1"/>
  <c r="N274" i="7" a="1"/>
  <c r="N274" i="7" s="1"/>
  <c r="N275" i="7" a="1"/>
  <c r="N275" i="7" s="1"/>
  <c r="N276" i="7" a="1"/>
  <c r="N276" i="7" s="1"/>
  <c r="N277" i="7" a="1"/>
  <c r="N277" i="7" s="1"/>
  <c r="N278" i="7" a="1"/>
  <c r="N278" i="7" s="1"/>
  <c r="N279" i="7" a="1"/>
  <c r="N279" i="7" s="1"/>
  <c r="N280" i="7" a="1"/>
  <c r="N280" i="7" s="1"/>
  <c r="N281" i="7" a="1"/>
  <c r="N281" i="7" s="1"/>
  <c r="N282" i="7" a="1"/>
  <c r="N282" i="7" s="1"/>
  <c r="N283" i="7" a="1"/>
  <c r="N283" i="7" s="1"/>
  <c r="N284" i="7" a="1"/>
  <c r="N284" i="7" s="1"/>
  <c r="N285" i="7" a="1"/>
  <c r="N285" i="7" s="1"/>
  <c r="N286" i="7" a="1"/>
  <c r="N286" i="7" s="1"/>
  <c r="N287" i="7" a="1"/>
  <c r="N287" i="7" s="1"/>
  <c r="N288" i="7" a="1"/>
  <c r="N288" i="7" s="1"/>
  <c r="N289" i="7" a="1"/>
  <c r="N289" i="7" s="1"/>
  <c r="N290" i="7" a="1"/>
  <c r="N290" i="7" s="1"/>
  <c r="N291" i="7" a="1"/>
  <c r="N291" i="7" s="1"/>
  <c r="N292" i="7" a="1"/>
  <c r="N292" i="7" s="1"/>
  <c r="N293" i="7" a="1"/>
  <c r="N293" i="7" s="1"/>
  <c r="N294" i="7" a="1"/>
  <c r="N294" i="7" s="1"/>
  <c r="N295" i="7" a="1"/>
  <c r="N295" i="7" s="1"/>
  <c r="N296" i="7" a="1"/>
  <c r="N296" i="7" s="1"/>
  <c r="N297" i="7" a="1"/>
  <c r="N297" i="7" s="1"/>
  <c r="N298" i="7" a="1"/>
  <c r="N298" i="7" s="1"/>
  <c r="N299" i="7" a="1"/>
  <c r="N299" i="7" s="1"/>
  <c r="N300" i="7" a="1"/>
  <c r="N300" i="7" s="1"/>
  <c r="N301" i="7" a="1"/>
  <c r="N301" i="7" s="1"/>
  <c r="N302" i="7" a="1"/>
  <c r="N302" i="7" s="1"/>
  <c r="N303" i="7" a="1"/>
  <c r="N303" i="7" s="1"/>
  <c r="N304" i="7" a="1"/>
  <c r="N304" i="7" s="1"/>
  <c r="N305" i="7" a="1"/>
  <c r="N305" i="7" s="1"/>
  <c r="N306" i="7" a="1"/>
  <c r="N306" i="7" s="1"/>
  <c r="N307" i="7" a="1"/>
  <c r="N307" i="7" s="1"/>
  <c r="N308" i="7" a="1"/>
  <c r="N308" i="7" s="1"/>
  <c r="N309" i="7" a="1"/>
  <c r="N309" i="7" s="1"/>
  <c r="N310" i="7" a="1"/>
  <c r="N310" i="7" s="1"/>
  <c r="N311" i="7" a="1"/>
  <c r="N311" i="7" s="1"/>
  <c r="N312" i="7" a="1"/>
  <c r="N312" i="7" s="1"/>
  <c r="N313" i="7" a="1"/>
  <c r="N313" i="7" s="1"/>
  <c r="N314" i="7" a="1"/>
  <c r="N314" i="7" s="1"/>
  <c r="N315" i="7" a="1"/>
  <c r="N315" i="7" s="1"/>
  <c r="N316" i="7" a="1"/>
  <c r="N316" i="7" s="1"/>
  <c r="N317" i="7" a="1"/>
  <c r="N317" i="7" s="1"/>
  <c r="N318" i="7" a="1"/>
  <c r="N318" i="7" s="1"/>
  <c r="N319" i="7" a="1"/>
  <c r="N319" i="7" s="1"/>
  <c r="N320" i="7" a="1"/>
  <c r="N320" i="7" s="1"/>
  <c r="N321" i="7" a="1"/>
  <c r="N321" i="7" s="1"/>
  <c r="N322" i="7" a="1"/>
  <c r="N322" i="7" s="1"/>
  <c r="N323" i="7" a="1"/>
  <c r="N323" i="7" s="1"/>
  <c r="N324" i="7" a="1"/>
  <c r="N324" i="7" s="1"/>
  <c r="N325" i="7" a="1"/>
  <c r="N325" i="7" s="1"/>
  <c r="N326" i="7" a="1"/>
  <c r="N326" i="7" s="1"/>
  <c r="N327" i="7" a="1"/>
  <c r="N327" i="7" s="1"/>
  <c r="N328" i="7" a="1"/>
  <c r="N328" i="7" s="1"/>
  <c r="N329" i="7" a="1"/>
  <c r="N329" i="7" s="1"/>
  <c r="N330" i="7" a="1"/>
  <c r="N330" i="7" s="1"/>
  <c r="N331" i="7" a="1"/>
  <c r="N331" i="7" s="1"/>
  <c r="N332" i="7" a="1"/>
  <c r="N332" i="7" s="1"/>
  <c r="N333" i="7" a="1"/>
  <c r="N333" i="7" s="1"/>
  <c r="N334" i="7" a="1"/>
  <c r="N334" i="7" s="1"/>
  <c r="N335" i="7" a="1"/>
  <c r="N335" i="7" s="1"/>
  <c r="N336" i="7" a="1"/>
  <c r="N336" i="7" s="1"/>
  <c r="N337" i="7" a="1"/>
  <c r="N337" i="7" s="1"/>
  <c r="N338" i="7" a="1"/>
  <c r="N338" i="7" s="1"/>
  <c r="N339" i="7" a="1"/>
  <c r="N339" i="7" s="1"/>
  <c r="N340" i="7" a="1"/>
  <c r="N340" i="7" s="1"/>
  <c r="N341" i="7" a="1"/>
  <c r="N341" i="7" s="1"/>
  <c r="N342" i="7" a="1"/>
  <c r="N342" i="7" s="1"/>
  <c r="N343" i="7" a="1"/>
  <c r="N343" i="7" s="1"/>
  <c r="N344" i="7" a="1"/>
  <c r="N344" i="7" s="1"/>
  <c r="N345" i="7" a="1"/>
  <c r="N345" i="7" s="1"/>
  <c r="N346" i="7" a="1"/>
  <c r="N346" i="7" s="1"/>
  <c r="N347" i="7" a="1"/>
  <c r="N347" i="7" s="1"/>
  <c r="N348" i="7" a="1"/>
  <c r="N348" i="7" s="1"/>
  <c r="N349" i="7" a="1"/>
  <c r="N349" i="7" s="1"/>
  <c r="N350" i="7" a="1"/>
  <c r="N350" i="7" s="1"/>
  <c r="N351" i="7" a="1"/>
  <c r="N351" i="7" s="1"/>
  <c r="N352" i="7" a="1"/>
  <c r="N352" i="7" s="1"/>
  <c r="N353" i="7" a="1"/>
  <c r="N353" i="7" s="1"/>
  <c r="N354" i="7" a="1"/>
  <c r="N354" i="7" s="1"/>
  <c r="N355" i="7" a="1"/>
  <c r="N355" i="7" s="1"/>
  <c r="N356" i="7" a="1"/>
  <c r="N356" i="7" s="1"/>
  <c r="N357" i="7" a="1"/>
  <c r="N357" i="7" s="1"/>
  <c r="N358" i="7" a="1"/>
  <c r="N358" i="7" s="1"/>
  <c r="N359" i="7" a="1"/>
  <c r="N359" i="7" s="1"/>
  <c r="N360" i="7" a="1"/>
  <c r="N360" i="7" s="1"/>
  <c r="N361" i="7" a="1"/>
  <c r="N361" i="7" s="1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G5" i="5" l="1"/>
  <c r="F4" i="4"/>
  <c r="W25" i="7"/>
  <c r="W135" i="7"/>
  <c r="T223" i="7"/>
  <c r="U223" i="7" s="1"/>
  <c r="T294" i="7"/>
  <c r="U294" i="7" s="1"/>
  <c r="T166" i="7"/>
  <c r="U166" i="7" s="1"/>
  <c r="U350" i="7"/>
  <c r="U184" i="7"/>
  <c r="U124" i="7"/>
  <c r="U74" i="7"/>
  <c r="U4" i="7"/>
  <c r="T96" i="7"/>
  <c r="U96" i="7" s="1"/>
  <c r="T111" i="7"/>
  <c r="U111" i="7" s="1"/>
  <c r="T95" i="7"/>
  <c r="U95" i="7" s="1"/>
  <c r="T38" i="7"/>
  <c r="U38" i="7" s="1"/>
  <c r="T36" i="7"/>
  <c r="U36" i="7" s="1"/>
  <c r="T267" i="7"/>
  <c r="U267" i="7" s="1"/>
  <c r="T106" i="7"/>
  <c r="U106" i="7" s="1"/>
  <c r="T21" i="7"/>
  <c r="U21" i="7" s="1"/>
  <c r="T32" i="7"/>
  <c r="U32" i="7" s="1"/>
  <c r="T160" i="7"/>
  <c r="U160" i="7" s="1"/>
  <c r="T240" i="7"/>
  <c r="U240" i="7" s="1"/>
  <c r="T14" i="7"/>
  <c r="U14" i="7" s="1"/>
  <c r="U177" i="7"/>
  <c r="U245" i="7"/>
  <c r="U6" i="7"/>
  <c r="U233" i="7"/>
  <c r="U299" i="7"/>
  <c r="U225" i="7"/>
  <c r="U167" i="7"/>
  <c r="U216" i="7"/>
  <c r="U43" i="7"/>
  <c r="U203" i="7"/>
  <c r="U200" i="7"/>
  <c r="U187" i="7"/>
  <c r="T359" i="7"/>
  <c r="U359" i="7" s="1"/>
  <c r="T208" i="7"/>
  <c r="U208" i="7" s="1"/>
  <c r="T322" i="7"/>
  <c r="U322" i="7" s="1"/>
  <c r="T118" i="7"/>
  <c r="U118" i="7" s="1"/>
  <c r="T241" i="7"/>
  <c r="U241" i="7" s="1"/>
  <c r="T176" i="7"/>
  <c r="U176" i="7" s="1"/>
  <c r="T253" i="7"/>
  <c r="U253" i="7" s="1"/>
  <c r="T54" i="7"/>
  <c r="U54" i="7" s="1"/>
  <c r="T31" i="7"/>
  <c r="U31" i="7" s="1"/>
  <c r="T357" i="7"/>
  <c r="U357" i="7" s="1"/>
  <c r="T257" i="7"/>
  <c r="U257" i="7" s="1"/>
  <c r="T292" i="7"/>
  <c r="U292" i="7" s="1"/>
  <c r="T17" i="7"/>
  <c r="U17" i="7" s="1"/>
  <c r="T199" i="7"/>
  <c r="U199" i="7" s="1"/>
  <c r="T39" i="7"/>
  <c r="U39" i="7" s="1"/>
  <c r="T212" i="7"/>
  <c r="U212" i="7" s="1"/>
  <c r="T325" i="7"/>
  <c r="U325" i="7" s="1"/>
  <c r="T288" i="7"/>
  <c r="U288" i="7" s="1"/>
  <c r="T315" i="7"/>
  <c r="U315" i="7" s="1"/>
  <c r="T302" i="7"/>
  <c r="U302" i="7" s="1"/>
  <c r="T276" i="7"/>
  <c r="U276" i="7" s="1"/>
  <c r="T237" i="7"/>
  <c r="U237" i="7" s="1"/>
  <c r="T186" i="7"/>
  <c r="U186" i="7" s="1"/>
  <c r="T173" i="7"/>
  <c r="U173" i="7" s="1"/>
  <c r="T137" i="7"/>
  <c r="U137" i="7" s="1"/>
  <c r="T77" i="7"/>
  <c r="U77" i="7" s="1"/>
  <c r="T40" i="7"/>
  <c r="U40" i="7" s="1"/>
  <c r="T30" i="7"/>
  <c r="U30" i="7" s="1"/>
  <c r="T18" i="7"/>
  <c r="U18" i="7" s="1"/>
  <c r="T5" i="7"/>
  <c r="U5" i="7" s="1"/>
  <c r="T234" i="7"/>
  <c r="U234" i="7" s="1"/>
  <c r="T168" i="7"/>
  <c r="U168" i="7" s="1"/>
  <c r="T26" i="7"/>
  <c r="U26" i="7" s="1"/>
  <c r="T301" i="7"/>
  <c r="U301" i="7" s="1"/>
  <c r="U275" i="7"/>
  <c r="T185" i="7"/>
  <c r="U185" i="7" s="1"/>
  <c r="U136" i="7"/>
  <c r="T52" i="7"/>
  <c r="U52" i="7" s="1"/>
  <c r="T355" i="7"/>
  <c r="U355" i="7" s="1"/>
  <c r="T232" i="7"/>
  <c r="U232" i="7" s="1"/>
  <c r="T162" i="7"/>
  <c r="U162" i="7" s="1"/>
  <c r="T89" i="7"/>
  <c r="U89" i="7" s="1"/>
  <c r="T248" i="7"/>
  <c r="U248" i="7" s="1"/>
  <c r="U254" i="7"/>
  <c r="U97" i="7"/>
  <c r="T358" i="7"/>
  <c r="U358" i="7" s="1"/>
  <c r="T296" i="7"/>
  <c r="U296" i="7" s="1"/>
  <c r="T285" i="7"/>
  <c r="U285" i="7" s="1"/>
  <c r="T158" i="7"/>
  <c r="U158" i="7" s="1"/>
  <c r="T133" i="7"/>
  <c r="U133" i="7" s="1"/>
  <c r="T110" i="7"/>
  <c r="U110" i="7" s="1"/>
  <c r="T331" i="7"/>
  <c r="U331" i="7" s="1"/>
  <c r="T139" i="7"/>
  <c r="U139" i="7" s="1"/>
  <c r="T345" i="7"/>
  <c r="U345" i="7" s="1"/>
  <c r="T123" i="7"/>
  <c r="U123" i="7" s="1"/>
  <c r="T231" i="7"/>
  <c r="U231" i="7" s="1"/>
  <c r="T157" i="7"/>
  <c r="U157" i="7" s="1"/>
  <c r="T144" i="7"/>
  <c r="U144" i="7" s="1"/>
  <c r="T109" i="7"/>
  <c r="U109" i="7" s="1"/>
  <c r="T13" i="7"/>
  <c r="U13" i="7" s="1"/>
  <c r="T266" i="7"/>
  <c r="U266" i="7" s="1"/>
  <c r="T274" i="7"/>
  <c r="U274" i="7" s="1"/>
  <c r="T62" i="7"/>
  <c r="U62" i="7" s="1"/>
  <c r="T152" i="7"/>
  <c r="U152" i="7" s="1"/>
  <c r="T79" i="7"/>
  <c r="U79" i="7" s="1"/>
  <c r="T219" i="7"/>
  <c r="U219" i="7" s="1"/>
  <c r="T151" i="7"/>
  <c r="U151" i="7" s="1"/>
  <c r="T272" i="7"/>
  <c r="U272" i="7" s="1"/>
  <c r="T169" i="7"/>
  <c r="U169" i="7" s="1"/>
  <c r="T86" i="7"/>
  <c r="U86" i="7" s="1"/>
  <c r="T73" i="7"/>
  <c r="U73" i="7" s="1"/>
  <c r="T71" i="7"/>
  <c r="U71" i="7" s="1"/>
  <c r="T182" i="7"/>
  <c r="U182" i="7" s="1"/>
  <c r="T145" i="7"/>
  <c r="U145" i="7" s="1"/>
  <c r="T70" i="7"/>
  <c r="U70" i="7" s="1"/>
  <c r="T8" i="7"/>
  <c r="U8" i="7" s="1"/>
  <c r="T295" i="7"/>
  <c r="U295" i="7" s="1"/>
  <c r="T244" i="7"/>
  <c r="U244" i="7" s="1"/>
  <c r="T218" i="7"/>
  <c r="U218" i="7" s="1"/>
  <c r="T207" i="7"/>
  <c r="U207" i="7" s="1"/>
  <c r="T119" i="7"/>
  <c r="U119" i="7" s="1"/>
  <c r="T108" i="7"/>
  <c r="U108" i="7" s="1"/>
  <c r="U47" i="7"/>
  <c r="T262" i="7"/>
  <c r="U262" i="7" s="1"/>
  <c r="T122" i="7"/>
  <c r="U122" i="7" s="1"/>
  <c r="T337" i="7"/>
  <c r="U337" i="7" s="1"/>
  <c r="U361" i="7"/>
  <c r="U58" i="7"/>
  <c r="T343" i="7"/>
  <c r="U343" i="7" s="1"/>
  <c r="T268" i="7"/>
  <c r="U268" i="7" s="1"/>
  <c r="T255" i="7"/>
  <c r="U255" i="7" s="1"/>
  <c r="T230" i="7"/>
  <c r="U230" i="7" s="1"/>
  <c r="T217" i="7"/>
  <c r="U217" i="7" s="1"/>
  <c r="T155" i="7"/>
  <c r="U155" i="7" s="1"/>
  <c r="T143" i="7"/>
  <c r="U143" i="7" s="1"/>
  <c r="T130" i="7"/>
  <c r="U130" i="7" s="1"/>
  <c r="T107" i="7"/>
  <c r="U107" i="7" s="1"/>
  <c r="T196" i="7"/>
  <c r="U196" i="7" s="1"/>
  <c r="T334" i="7"/>
  <c r="U334" i="7" s="1"/>
  <c r="T336" i="7"/>
  <c r="U336" i="7" s="1"/>
  <c r="T51" i="7"/>
  <c r="U51" i="7" s="1"/>
  <c r="T312" i="7"/>
  <c r="U312" i="7" s="1"/>
  <c r="T311" i="7"/>
  <c r="U311" i="7" s="1"/>
  <c r="T210" i="7"/>
  <c r="U210" i="7" s="1"/>
  <c r="T61" i="7"/>
  <c r="U61" i="7" s="1"/>
  <c r="T340" i="7"/>
  <c r="U340" i="7" s="1"/>
  <c r="T323" i="7"/>
  <c r="U323" i="7" s="1"/>
  <c r="T310" i="7"/>
  <c r="U310" i="7" s="1"/>
  <c r="U221" i="7"/>
  <c r="T342" i="7"/>
  <c r="U342" i="7" s="1"/>
  <c r="T319" i="7"/>
  <c r="U319" i="7" s="1"/>
  <c r="T306" i="7"/>
  <c r="U306" i="7" s="1"/>
  <c r="T242" i="7"/>
  <c r="U242" i="7" s="1"/>
  <c r="T229" i="7"/>
  <c r="U229" i="7" s="1"/>
  <c r="T178" i="7"/>
  <c r="U178" i="7" s="1"/>
  <c r="T154" i="7"/>
  <c r="U154" i="7" s="1"/>
  <c r="T142" i="7"/>
  <c r="U142" i="7" s="1"/>
  <c r="T129" i="7"/>
  <c r="U129" i="7" s="1"/>
  <c r="T81" i="7"/>
  <c r="U81" i="7" s="1"/>
  <c r="T258" i="7"/>
  <c r="U258" i="7" s="1"/>
  <c r="T193" i="7"/>
  <c r="U193" i="7" s="1"/>
  <c r="U120" i="7"/>
  <c r="T194" i="7"/>
  <c r="U194" i="7" s="1"/>
  <c r="U349" i="7"/>
  <c r="T88" i="7"/>
  <c r="U88" i="7" s="1"/>
  <c r="T29" i="7"/>
  <c r="U29" i="7" s="1"/>
  <c r="T273" i="7"/>
  <c r="U273" i="7" s="1"/>
  <c r="T197" i="7"/>
  <c r="U197" i="7" s="1"/>
  <c r="T335" i="7"/>
  <c r="U335" i="7" s="1"/>
  <c r="T298" i="7"/>
  <c r="U298" i="7" s="1"/>
  <c r="T346" i="7"/>
  <c r="U346" i="7" s="1"/>
  <c r="T209" i="7"/>
  <c r="U209" i="7" s="1"/>
  <c r="T134" i="7"/>
  <c r="U134" i="7" s="1"/>
  <c r="T330" i="7"/>
  <c r="U330" i="7" s="1"/>
  <c r="T318" i="7"/>
  <c r="U318" i="7" s="1"/>
  <c r="T305" i="7"/>
  <c r="U305" i="7" s="1"/>
  <c r="T280" i="7"/>
  <c r="U280" i="7" s="1"/>
  <c r="T205" i="7"/>
  <c r="U205" i="7" s="1"/>
  <c r="U165" i="7"/>
  <c r="T153" i="7"/>
  <c r="U153" i="7" s="1"/>
  <c r="T141" i="7"/>
  <c r="U141" i="7" s="1"/>
  <c r="T105" i="7"/>
  <c r="U105" i="7" s="1"/>
  <c r="T321" i="7"/>
  <c r="U321" i="7" s="1"/>
  <c r="T192" i="7"/>
  <c r="U192" i="7" s="1"/>
  <c r="T37" i="7"/>
  <c r="U37" i="7" s="1"/>
  <c r="U326" i="7"/>
  <c r="T198" i="7"/>
  <c r="U198" i="7" s="1"/>
  <c r="T354" i="7"/>
  <c r="U354" i="7" s="1"/>
  <c r="T348" i="7"/>
  <c r="U348" i="7" s="1"/>
  <c r="T287" i="7"/>
  <c r="U287" i="7" s="1"/>
  <c r="T50" i="7"/>
  <c r="U50" i="7" s="1"/>
  <c r="T146" i="7"/>
  <c r="U146" i="7" s="1"/>
  <c r="T265" i="7"/>
  <c r="U265" i="7" s="1"/>
  <c r="U228" i="7"/>
  <c r="T190" i="7"/>
  <c r="U190" i="7" s="1"/>
  <c r="T304" i="7"/>
  <c r="U304" i="7" s="1"/>
  <c r="T279" i="7"/>
  <c r="U279" i="7" s="1"/>
  <c r="T264" i="7"/>
  <c r="U264" i="7" s="1"/>
  <c r="T175" i="7"/>
  <c r="U175" i="7" s="1"/>
  <c r="U103" i="7"/>
  <c r="T66" i="7"/>
  <c r="U66" i="7" s="1"/>
  <c r="T214" i="7"/>
  <c r="U214" i="7" s="1"/>
  <c r="T91" i="7"/>
  <c r="U91" i="7" s="1"/>
  <c r="T7" i="7"/>
  <c r="U7" i="7" s="1"/>
  <c r="T281" i="7"/>
  <c r="U281" i="7" s="1"/>
  <c r="T224" i="7"/>
  <c r="U224" i="7" s="1"/>
  <c r="T360" i="7"/>
  <c r="U360" i="7" s="1"/>
  <c r="T235" i="7"/>
  <c r="U235" i="7" s="1"/>
  <c r="T87" i="7"/>
  <c r="U87" i="7" s="1"/>
  <c r="U222" i="7"/>
  <c r="T353" i="7"/>
  <c r="U353" i="7" s="1"/>
  <c r="T341" i="7"/>
  <c r="U341" i="7" s="1"/>
  <c r="T44" i="7"/>
  <c r="U44" i="7" s="1"/>
  <c r="T116" i="7"/>
  <c r="U116" i="7" s="1"/>
  <c r="U313" i="7"/>
  <c r="T215" i="7"/>
  <c r="U215" i="7" s="1"/>
  <c r="T189" i="7"/>
  <c r="U189" i="7" s="1"/>
  <c r="T164" i="7"/>
  <c r="U164" i="7" s="1"/>
  <c r="T92" i="7"/>
  <c r="U92" i="7" s="1"/>
  <c r="U309" i="7"/>
  <c r="T33" i="7"/>
  <c r="U33" i="7" s="1"/>
  <c r="T286" i="7"/>
  <c r="U286" i="7" s="1"/>
  <c r="T239" i="7"/>
  <c r="U239" i="7" s="1"/>
  <c r="T127" i="7"/>
  <c r="U127" i="7" s="1"/>
  <c r="U102" i="7"/>
  <c r="U20" i="7"/>
  <c r="T338" i="7"/>
  <c r="U338" i="7" s="1"/>
  <c r="T303" i="7"/>
  <c r="U303" i="7" s="1"/>
  <c r="T290" i="7"/>
  <c r="U290" i="7" s="1"/>
  <c r="T277" i="7"/>
  <c r="U277" i="7" s="1"/>
  <c r="T263" i="7"/>
  <c r="U263" i="7" s="1"/>
  <c r="T238" i="7"/>
  <c r="U238" i="7" s="1"/>
  <c r="T201" i="7"/>
  <c r="U201" i="7" s="1"/>
  <c r="T126" i="7"/>
  <c r="U126" i="7" s="1"/>
  <c r="T115" i="7"/>
  <c r="U115" i="7" s="1"/>
  <c r="T90" i="7"/>
  <c r="U90" i="7" s="1"/>
  <c r="T78" i="7"/>
  <c r="U78" i="7" s="1"/>
  <c r="U64" i="7"/>
  <c r="T41" i="7"/>
  <c r="U41" i="7" s="1"/>
  <c r="T297" i="7"/>
  <c r="U297" i="7" s="1"/>
  <c r="T98" i="7"/>
  <c r="U98" i="7" s="1"/>
  <c r="T278" i="7"/>
  <c r="U278" i="7" s="1"/>
  <c r="T53" i="7"/>
  <c r="U53" i="7" s="1"/>
  <c r="T314" i="7"/>
  <c r="U314" i="7" s="1"/>
  <c r="T291" i="7"/>
  <c r="U291" i="7" s="1"/>
  <c r="T211" i="7"/>
  <c r="U211" i="7" s="1"/>
  <c r="T65" i="7"/>
  <c r="U65" i="7" s="1"/>
  <c r="W94" i="7"/>
  <c r="T328" i="7"/>
  <c r="U328" i="7" s="1"/>
  <c r="T121" i="7"/>
  <c r="U121" i="7" s="1"/>
  <c r="T60" i="7"/>
  <c r="U60" i="7" s="1"/>
  <c r="U308" i="7"/>
  <c r="T347" i="7"/>
  <c r="U347" i="7" s="1"/>
  <c r="T289" i="7"/>
  <c r="U289" i="7" s="1"/>
  <c r="T243" i="7"/>
  <c r="U243" i="7" s="1"/>
  <c r="T220" i="7"/>
  <c r="U220" i="7" s="1"/>
  <c r="T156" i="7"/>
  <c r="U156" i="7" s="1"/>
  <c r="U19" i="7"/>
  <c r="T324" i="7"/>
  <c r="U324" i="7" s="1"/>
  <c r="T72" i="7"/>
  <c r="U72" i="7" s="1"/>
  <c r="U352" i="7"/>
  <c r="U236" i="7"/>
  <c r="T174" i="7"/>
  <c r="U174" i="7" s="1"/>
  <c r="U163" i="7"/>
  <c r="T84" i="7"/>
  <c r="U84" i="7" s="1"/>
  <c r="T16" i="7"/>
  <c r="U16" i="7"/>
  <c r="T282" i="7"/>
  <c r="U282" i="7" s="1"/>
  <c r="T148" i="7"/>
  <c r="U148" i="7" s="1"/>
  <c r="T68" i="7"/>
  <c r="U68" i="7" s="1"/>
  <c r="T351" i="7"/>
  <c r="U351" i="7" s="1"/>
  <c r="T320" i="7"/>
  <c r="U320" i="7" s="1"/>
  <c r="T283" i="7"/>
  <c r="U283" i="7" s="1"/>
  <c r="T256" i="7"/>
  <c r="U256" i="7" s="1"/>
  <c r="T344" i="7"/>
  <c r="U344" i="7" s="1"/>
  <c r="T333" i="7"/>
  <c r="U333" i="7" s="1"/>
  <c r="T252" i="7"/>
  <c r="U252" i="7"/>
  <c r="T251" i="7"/>
  <c r="U251" i="7" s="1"/>
  <c r="U140" i="7"/>
  <c r="U117" i="7"/>
  <c r="T83" i="7"/>
  <c r="U83" i="7" s="1"/>
  <c r="T28" i="7"/>
  <c r="U28" i="7" s="1"/>
  <c r="T206" i="7"/>
  <c r="U206" i="7" s="1"/>
  <c r="U24" i="7"/>
  <c r="T250" i="7"/>
  <c r="U250" i="7" s="1"/>
  <c r="U226" i="7"/>
  <c r="T183" i="7"/>
  <c r="U183" i="7" s="1"/>
  <c r="T161" i="7"/>
  <c r="U161" i="7" s="1"/>
  <c r="T104" i="7"/>
  <c r="U104" i="7" s="1"/>
  <c r="T93" i="7"/>
  <c r="U93" i="7" s="1"/>
  <c r="U48" i="7"/>
  <c r="T27" i="7"/>
  <c r="U27" i="7" s="1"/>
  <c r="T15" i="7"/>
  <c r="U15" i="7" s="1"/>
  <c r="T12" i="7"/>
  <c r="U12" i="7" s="1"/>
  <c r="U150" i="7"/>
  <c r="T307" i="7"/>
  <c r="U307" i="7" s="1"/>
  <c r="U172" i="7"/>
  <c r="T138" i="7"/>
  <c r="U138" i="7" s="1"/>
  <c r="T59" i="7"/>
  <c r="U59" i="7" s="1"/>
  <c r="T246" i="7"/>
  <c r="U246" i="7" s="1"/>
  <c r="T100" i="7"/>
  <c r="U100" i="7" s="1"/>
  <c r="T10" i="7"/>
  <c r="U10" i="7" s="1"/>
  <c r="T249" i="7"/>
  <c r="U249" i="7" s="1"/>
  <c r="T82" i="7"/>
  <c r="U82" i="7" s="1"/>
  <c r="T204" i="7"/>
  <c r="U204" i="7" s="1"/>
  <c r="T57" i="7"/>
  <c r="U57" i="7" s="1"/>
  <c r="U339" i="7"/>
  <c r="T270" i="7"/>
  <c r="U270" i="7" s="1"/>
  <c r="T259" i="7"/>
  <c r="U259" i="7" s="1"/>
  <c r="U159" i="7"/>
  <c r="T125" i="7"/>
  <c r="U125" i="7" s="1"/>
  <c r="T113" i="7"/>
  <c r="U113" i="7" s="1"/>
  <c r="U101" i="7"/>
  <c r="U46" i="7"/>
  <c r="T11" i="7"/>
  <c r="U11" i="7" s="1"/>
  <c r="T171" i="7"/>
  <c r="U171" i="7"/>
  <c r="T76" i="7"/>
  <c r="U76" i="7" s="1"/>
  <c r="U317" i="7"/>
  <c r="U261" i="7"/>
  <c r="U132" i="7"/>
  <c r="U69" i="7"/>
  <c r="U284" i="7"/>
  <c r="U80" i="7"/>
  <c r="T269" i="7"/>
  <c r="U269" i="7" s="1"/>
  <c r="T180" i="7"/>
  <c r="U180" i="7" s="1"/>
  <c r="U147" i="7"/>
  <c r="U112" i="7"/>
  <c r="T56" i="7"/>
  <c r="U56" i="7" s="1"/>
  <c r="U45" i="7"/>
  <c r="T23" i="7"/>
  <c r="U23" i="7" s="1"/>
  <c r="T271" i="7"/>
  <c r="U271" i="7" s="1"/>
  <c r="T170" i="7"/>
  <c r="U170" i="7" s="1"/>
  <c r="T356" i="7"/>
  <c r="U356" i="7" s="1"/>
  <c r="T191" i="7"/>
  <c r="U191" i="7" s="1"/>
  <c r="U316" i="7"/>
  <c r="U260" i="7"/>
  <c r="T329" i="7"/>
  <c r="U329" i="7" s="1"/>
  <c r="T114" i="7"/>
  <c r="U114" i="7" s="1"/>
  <c r="U35" i="7"/>
  <c r="T49" i="7"/>
  <c r="U49" i="7" s="1"/>
  <c r="T247" i="7"/>
  <c r="U247" i="7" s="1"/>
  <c r="U327" i="7"/>
  <c r="T179" i="7"/>
  <c r="U179" i="7" s="1"/>
  <c r="T55" i="7"/>
  <c r="U55" i="7" s="1"/>
  <c r="T22" i="7"/>
  <c r="U22" i="7" s="1"/>
  <c r="T202" i="7"/>
  <c r="U202" i="7" s="1"/>
  <c r="T293" i="7"/>
  <c r="U293" i="7" s="1"/>
  <c r="T188" i="7"/>
  <c r="U188" i="7" s="1"/>
  <c r="U128" i="7"/>
  <c r="U227" i="7"/>
  <c r="U99" i="7"/>
  <c r="T3" i="7"/>
  <c r="U3" i="7" s="1"/>
  <c r="T332" i="7"/>
  <c r="U332" i="7" s="1"/>
  <c r="U195" i="7"/>
  <c r="T131" i="7"/>
  <c r="U131" i="7" s="1"/>
  <c r="U67" i="7"/>
  <c r="U2" i="7"/>
  <c r="T34" i="7"/>
  <c r="U34" i="7" s="1"/>
  <c r="U149" i="7"/>
  <c r="U300" i="7"/>
  <c r="U213" i="7"/>
  <c r="U181" i="7"/>
  <c r="U85" i="7"/>
  <c r="U63" i="7"/>
  <c r="U9" i="7"/>
  <c r="U42" i="7"/>
  <c r="U75" i="7"/>
  <c r="W88" i="7" l="1"/>
  <c r="W304" i="7"/>
  <c r="W97" i="7"/>
  <c r="W17" i="7"/>
  <c r="W43" i="7"/>
  <c r="W36" i="7"/>
  <c r="W42" i="7"/>
  <c r="W353" i="7"/>
  <c r="W10" i="7"/>
  <c r="W230" i="7"/>
  <c r="W100" i="7"/>
  <c r="W255" i="7"/>
  <c r="W320" i="7"/>
  <c r="W89" i="7"/>
  <c r="W11" i="7"/>
  <c r="W193" i="7"/>
  <c r="W45" i="7"/>
  <c r="W71" i="7"/>
  <c r="W60" i="7"/>
  <c r="W227" i="7"/>
  <c r="W344" i="7"/>
  <c r="W221" i="7"/>
  <c r="W256" i="7"/>
  <c r="W8" i="7"/>
  <c r="W104" i="7"/>
  <c r="W9" i="7"/>
  <c r="W222" i="7"/>
  <c r="W30" i="7"/>
  <c r="W170" i="7"/>
  <c r="W102" i="7"/>
  <c r="W248" i="7"/>
  <c r="W293" i="7"/>
  <c r="W181" i="7"/>
  <c r="W239" i="7"/>
  <c r="W162" i="7"/>
  <c r="W138" i="7"/>
  <c r="W231" i="7"/>
  <c r="W101" i="7"/>
  <c r="W287" i="7"/>
  <c r="W253" i="7"/>
  <c r="W90" i="7"/>
  <c r="W345" i="7"/>
  <c r="W34" i="7"/>
  <c r="W7" i="7"/>
  <c r="W169" i="7"/>
  <c r="W2" i="7"/>
  <c r="W164" i="7"/>
  <c r="W185" i="7"/>
  <c r="W84" i="7"/>
  <c r="W326" i="7"/>
  <c r="W110" i="7"/>
  <c r="W350" i="7"/>
  <c r="W191" i="7"/>
  <c r="W53" i="7"/>
  <c r="W295" i="7"/>
  <c r="W356" i="7"/>
  <c r="W20" i="7"/>
  <c r="W165" i="7"/>
  <c r="W216" i="7"/>
  <c r="W63" i="7"/>
  <c r="W156" i="7"/>
  <c r="W194" i="7"/>
  <c r="W257" i="7"/>
  <c r="W271" i="7"/>
  <c r="W226" i="7"/>
  <c r="W127" i="7"/>
  <c r="W280" i="7"/>
  <c r="W340" i="7"/>
  <c r="W144" i="7"/>
  <c r="W95" i="7"/>
  <c r="W250" i="7"/>
  <c r="W305" i="7"/>
  <c r="W157" i="7"/>
  <c r="W299" i="7"/>
  <c r="W68" i="7"/>
  <c r="W318" i="7"/>
  <c r="W173" i="7"/>
  <c r="W56" i="7"/>
  <c r="W33" i="7"/>
  <c r="W361" i="7"/>
  <c r="W186" i="7"/>
  <c r="W28" i="7"/>
  <c r="W348" i="7"/>
  <c r="W337" i="7"/>
  <c r="W74" i="7"/>
  <c r="W147" i="7"/>
  <c r="W16" i="7"/>
  <c r="W142" i="7"/>
  <c r="W241" i="7"/>
  <c r="W159" i="7"/>
  <c r="W126" i="7"/>
  <c r="W336" i="7"/>
  <c r="W118" i="7"/>
  <c r="W12" i="7"/>
  <c r="W214" i="7"/>
  <c r="W240" i="7"/>
  <c r="W131" i="7"/>
  <c r="W35" i="7"/>
  <c r="W80" i="7"/>
  <c r="W270" i="7"/>
  <c r="W124" i="7"/>
  <c r="W251" i="7"/>
  <c r="W163" i="7"/>
  <c r="W238" i="7"/>
  <c r="W215" i="7"/>
  <c r="W66" i="7"/>
  <c r="W37" i="7"/>
  <c r="W335" i="7"/>
  <c r="W229" i="7"/>
  <c r="W196" i="7"/>
  <c r="W108" i="7"/>
  <c r="W219" i="7"/>
  <c r="W133" i="7"/>
  <c r="W301" i="7"/>
  <c r="W288" i="7"/>
  <c r="W208" i="7"/>
  <c r="W160" i="7"/>
  <c r="W166" i="7"/>
  <c r="W249" i="7"/>
  <c r="W217" i="7"/>
  <c r="W161" i="7"/>
  <c r="W13" i="7"/>
  <c r="W188" i="7"/>
  <c r="W87" i="7"/>
  <c r="W109" i="7"/>
  <c r="W297" i="7"/>
  <c r="W268" i="7"/>
  <c r="W225" i="7"/>
  <c r="W243" i="7"/>
  <c r="W61" i="7"/>
  <c r="W22" i="7"/>
  <c r="W50" i="7"/>
  <c r="W232" i="7"/>
  <c r="W330" i="7"/>
  <c r="W123" i="7"/>
  <c r="W112" i="7"/>
  <c r="W281" i="7"/>
  <c r="W52" i="7"/>
  <c r="W327" i="7"/>
  <c r="W354" i="7"/>
  <c r="W276" i="7"/>
  <c r="W150" i="7"/>
  <c r="W154" i="7"/>
  <c r="W331" i="7"/>
  <c r="W67" i="7"/>
  <c r="W140" i="7"/>
  <c r="W151" i="7"/>
  <c r="W284" i="7"/>
  <c r="W65" i="7"/>
  <c r="W313" i="7"/>
  <c r="W103" i="7"/>
  <c r="W192" i="7"/>
  <c r="W197" i="7"/>
  <c r="W242" i="7"/>
  <c r="W107" i="7"/>
  <c r="W119" i="7"/>
  <c r="W79" i="7"/>
  <c r="W158" i="7"/>
  <c r="W26" i="7"/>
  <c r="W325" i="7"/>
  <c r="W359" i="7"/>
  <c r="W32" i="7"/>
  <c r="W294" i="7"/>
  <c r="W317" i="7"/>
  <c r="W338" i="7"/>
  <c r="W266" i="7"/>
  <c r="W128" i="7"/>
  <c r="W19" i="7"/>
  <c r="W310" i="7"/>
  <c r="W38" i="7"/>
  <c r="W171" i="7"/>
  <c r="W98" i="7"/>
  <c r="W323" i="7"/>
  <c r="W167" i="7"/>
  <c r="W246" i="7"/>
  <c r="W235" i="7"/>
  <c r="W145" i="7"/>
  <c r="W357" i="7"/>
  <c r="W23" i="7"/>
  <c r="W41" i="7"/>
  <c r="W182" i="7"/>
  <c r="W111" i="7"/>
  <c r="W46" i="7"/>
  <c r="W64" i="7"/>
  <c r="W210" i="7"/>
  <c r="W54" i="7"/>
  <c r="W55" i="7"/>
  <c r="W347" i="7"/>
  <c r="W311" i="7"/>
  <c r="W4" i="7"/>
  <c r="W179" i="7"/>
  <c r="W172" i="7"/>
  <c r="W309" i="7"/>
  <c r="W312" i="7"/>
  <c r="W237" i="7"/>
  <c r="W307" i="7"/>
  <c r="W92" i="7"/>
  <c r="W122" i="7"/>
  <c r="W177" i="7"/>
  <c r="W117" i="7"/>
  <c r="W346" i="7"/>
  <c r="W14" i="7"/>
  <c r="W269" i="7"/>
  <c r="W201" i="7"/>
  <c r="W178" i="7"/>
  <c r="W47" i="7"/>
  <c r="W275" i="7"/>
  <c r="W114" i="7"/>
  <c r="W252" i="7"/>
  <c r="W27" i="7"/>
  <c r="W211" i="7"/>
  <c r="W116" i="7"/>
  <c r="W175" i="7"/>
  <c r="W321" i="7"/>
  <c r="W273" i="7"/>
  <c r="W306" i="7"/>
  <c r="W130" i="7"/>
  <c r="W207" i="7"/>
  <c r="W152" i="7"/>
  <c r="W285" i="7"/>
  <c r="W168" i="7"/>
  <c r="W212" i="7"/>
  <c r="W187" i="7"/>
  <c r="W21" i="7"/>
  <c r="W223" i="7"/>
  <c r="W153" i="7"/>
  <c r="W278" i="7"/>
  <c r="W254" i="7"/>
  <c r="W283" i="7"/>
  <c r="W205" i="7"/>
  <c r="W70" i="7"/>
  <c r="W220" i="7"/>
  <c r="W120" i="7"/>
  <c r="W77" i="7"/>
  <c r="W202" i="7"/>
  <c r="W351" i="7"/>
  <c r="W360" i="7"/>
  <c r="W343" i="7"/>
  <c r="W137" i="7"/>
  <c r="W289" i="7"/>
  <c r="W258" i="7"/>
  <c r="W96" i="7"/>
  <c r="W206" i="7"/>
  <c r="W224" i="7"/>
  <c r="W73" i="7"/>
  <c r="W6" i="7"/>
  <c r="W113" i="7"/>
  <c r="W308" i="7"/>
  <c r="W129" i="7"/>
  <c r="W176" i="7"/>
  <c r="W125" i="7"/>
  <c r="W115" i="7"/>
  <c r="W51" i="7"/>
  <c r="W136" i="7"/>
  <c r="W247" i="7"/>
  <c r="W91" i="7"/>
  <c r="W272" i="7"/>
  <c r="W184" i="7"/>
  <c r="W259" i="7"/>
  <c r="W189" i="7"/>
  <c r="W334" i="7"/>
  <c r="W315" i="7"/>
  <c r="W15" i="7"/>
  <c r="W263" i="7"/>
  <c r="W329" i="7"/>
  <c r="W57" i="7"/>
  <c r="W236" i="7"/>
  <c r="W132" i="7"/>
  <c r="W333" i="7"/>
  <c r="W352" i="7"/>
  <c r="W291" i="7"/>
  <c r="W290" i="7"/>
  <c r="W44" i="7"/>
  <c r="W264" i="7"/>
  <c r="W105" i="7"/>
  <c r="W29" i="7"/>
  <c r="W319" i="7"/>
  <c r="W143" i="7"/>
  <c r="W218" i="7"/>
  <c r="W62" i="7"/>
  <c r="W296" i="7"/>
  <c r="W234" i="7"/>
  <c r="W39" i="7"/>
  <c r="W200" i="7"/>
  <c r="W106" i="7"/>
  <c r="W324" i="7"/>
  <c r="W18" i="7"/>
  <c r="W76" i="7"/>
  <c r="W190" i="7"/>
  <c r="W349" i="7"/>
  <c r="W292" i="7"/>
  <c r="W183" i="7"/>
  <c r="W228" i="7"/>
  <c r="W40" i="7"/>
  <c r="W85" i="7"/>
  <c r="W265" i="7"/>
  <c r="W59" i="7"/>
  <c r="W146" i="7"/>
  <c r="W31" i="7"/>
  <c r="W213" i="7"/>
  <c r="W24" i="7"/>
  <c r="W286" i="7"/>
  <c r="W58" i="7"/>
  <c r="W233" i="7"/>
  <c r="W300" i="7"/>
  <c r="W148" i="7"/>
  <c r="W78" i="7"/>
  <c r="W81" i="7"/>
  <c r="W355" i="7"/>
  <c r="W149" i="7"/>
  <c r="W282" i="7"/>
  <c r="W134" i="7"/>
  <c r="W86" i="7"/>
  <c r="W245" i="7"/>
  <c r="W83" i="7"/>
  <c r="W209" i="7"/>
  <c r="W139" i="7"/>
  <c r="W180" i="7"/>
  <c r="W121" i="7"/>
  <c r="W198" i="7"/>
  <c r="W262" i="7"/>
  <c r="W302" i="7"/>
  <c r="W49" i="7"/>
  <c r="W328" i="7"/>
  <c r="W298" i="7"/>
  <c r="W322" i="7"/>
  <c r="W195" i="7"/>
  <c r="W339" i="7"/>
  <c r="W174" i="7"/>
  <c r="W332" i="7"/>
  <c r="W69" i="7"/>
  <c r="W277" i="7"/>
  <c r="W3" i="7"/>
  <c r="W260" i="7"/>
  <c r="W204" i="7"/>
  <c r="W48" i="7"/>
  <c r="W75" i="7"/>
  <c r="W99" i="7"/>
  <c r="W316" i="7"/>
  <c r="W261" i="7"/>
  <c r="W82" i="7"/>
  <c r="W93" i="7"/>
  <c r="W72" i="7"/>
  <c r="W314" i="7"/>
  <c r="W303" i="7"/>
  <c r="W341" i="7"/>
  <c r="W279" i="7"/>
  <c r="W141" i="7"/>
  <c r="W342" i="7"/>
  <c r="W155" i="7"/>
  <c r="W244" i="7"/>
  <c r="W274" i="7"/>
  <c r="W358" i="7"/>
  <c r="W5" i="7"/>
  <c r="W199" i="7"/>
  <c r="W203" i="7"/>
  <c r="W26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<sst xmlns="http://schemas.openxmlformats.org/spreadsheetml/2006/main" count="6068" uniqueCount="567">
  <si>
    <t>Excel Portfolio Project — E-commerce Sales &amp; Profitability Dashboard</t>
  </si>
  <si>
    <t>Goal: turn messy sales records into a clean, decision-ready dashboard that you can explain in an interview.</t>
  </si>
  <si>
    <t>Phase</t>
  </si>
  <si>
    <t>Priority</t>
  </si>
  <si>
    <t>Task</t>
  </si>
  <si>
    <t>Required output</t>
  </si>
  <si>
    <t>Skill</t>
  </si>
  <si>
    <t>Time box</t>
  </si>
  <si>
    <t>Status</t>
  </si>
  <si>
    <t>Evidence</t>
  </si>
  <si>
    <t>TODAY</t>
  </si>
  <si>
    <t>Create Cleaned_Data from Raw_Sales; never overwrite Raw_Sales.</t>
  </si>
  <si>
    <t>One working copy/table</t>
  </si>
  <si>
    <t>Data discipline</t>
  </si>
  <si>
    <t>10 min</t>
  </si>
  <si>
    <t>Not Started</t>
  </si>
  <si>
    <t>Sheet created</t>
  </si>
  <si>
    <t>Remove exact duplicate orders.</t>
  </si>
  <si>
    <t>One row per Order_ID</t>
  </si>
  <si>
    <t>Duplicate handling</t>
  </si>
  <si>
    <t>Row count recorded</t>
  </si>
  <si>
    <t>Standardize City and Payment_Mode; keep missing City as Unknown.</t>
  </si>
  <si>
    <t>Consistent labels</t>
  </si>
  <si>
    <t>Cleaning</t>
  </si>
  <si>
    <t>20 min</t>
  </si>
  <si>
    <t>Before/after values</t>
  </si>
  <si>
    <t>Use XLOOKUP to add Product_Name, Category, Unit_Price and Unit_Cost.</t>
  </si>
  <si>
    <t>Four lookup columns</t>
  </si>
  <si>
    <t>XLOOKUP</t>
  </si>
  <si>
    <t>25 min</t>
  </si>
  <si>
    <t>Formula shown</t>
  </si>
  <si>
    <t>Flag product codes missing from Product_Lookup; do not invent values.</t>
  </si>
  <si>
    <t>Data-quality flag</t>
  </si>
  <si>
    <t>Error handling</t>
  </si>
  <si>
    <t>Exception count</t>
  </si>
  <si>
    <t>Calculate Gross_Revenue, Discount_Value, Net_Revenue, Cost and Profit.</t>
  </si>
  <si>
    <t>Five calculated columns</t>
  </si>
  <si>
    <t>Business formulas</t>
  </si>
  <si>
    <t>Formula checks</t>
  </si>
  <si>
    <t>NEXT</t>
  </si>
  <si>
    <t>Add Profit_Margin, Delivery_Days, Month and Order_Band.</t>
  </si>
  <si>
    <t>Four analysis columns</t>
  </si>
  <si>
    <t>IF/date formulas</t>
  </si>
  <si>
    <t>30 min</t>
  </si>
  <si>
    <t>Columns completed</t>
  </si>
  <si>
    <t>Build PivotTables for month, city, category, channel and salesperson.</t>
  </si>
  <si>
    <t>Five PivotTables</t>
  </si>
  <si>
    <t>Pivot analysis</t>
  </si>
  <si>
    <t>45 min</t>
  </si>
  <si>
    <t>Pivot sheet</t>
  </si>
  <si>
    <t>Create KPIs: Net Revenue, Profit, Margin, Orders and Return Rate.</t>
  </si>
  <si>
    <t>Five KPI cards</t>
  </si>
  <si>
    <t>Aggregation</t>
  </si>
  <si>
    <t>Dashboard cards</t>
  </si>
  <si>
    <t>Create 3–4 useful charts and exclude Grand Totals.</t>
  </si>
  <si>
    <t>Clean dashboard charts</t>
  </si>
  <si>
    <t>Chart design</t>
  </si>
  <si>
    <t>Dashboard</t>
  </si>
  <si>
    <t>Write five findings and three business recommendations.</t>
  </si>
  <si>
    <t>Insight section</t>
  </si>
  <si>
    <t>Communication</t>
  </si>
  <si>
    <t>Findings</t>
  </si>
  <si>
    <t>FINAL</t>
  </si>
  <si>
    <t>Quality check, README, screenshot and GitHub upload.</t>
  </si>
  <si>
    <t>Portfolio package</t>
  </si>
  <si>
    <t>Documentation/Git</t>
  </si>
  <si>
    <t>GitHub link</t>
  </si>
  <si>
    <t>TODAY'S FINISH LINE: complete tasks 1–6. Do not build the dashboard before the cleaned calculations are checked.</t>
  </si>
  <si>
    <t>Dataset note: this is a synthetic retail dataset created for learning. Present it as a portfolio project—not employment or client work.</t>
  </si>
  <si>
    <t>Order_ID</t>
  </si>
  <si>
    <t>Order_Date</t>
  </si>
  <si>
    <t>Ship_Date</t>
  </si>
  <si>
    <t>City</t>
  </si>
  <si>
    <t>Salesperson</t>
  </si>
  <si>
    <t>Product_Code</t>
  </si>
  <si>
    <t>Sales_Channel</t>
  </si>
  <si>
    <t>Customer_Segment</t>
  </si>
  <si>
    <t>Quantity</t>
  </si>
  <si>
    <t>Discount_Pct</t>
  </si>
  <si>
    <t>Payment_Mode</t>
  </si>
  <si>
    <t>Returned</t>
  </si>
  <si>
    <t>Customer_Rating</t>
  </si>
  <si>
    <t>ORD-5001</t>
  </si>
  <si>
    <t>Delhi</t>
  </si>
  <si>
    <t>Ananya</t>
  </si>
  <si>
    <t>P109</t>
  </si>
  <si>
    <t>Corporate</t>
  </si>
  <si>
    <t>Small Business</t>
  </si>
  <si>
    <t>Cash on Delivery</t>
  </si>
  <si>
    <t>No</t>
  </si>
  <si>
    <t>ORD-5002</t>
  </si>
  <si>
    <t>NOIDA</t>
  </si>
  <si>
    <t>Rohan</t>
  </si>
  <si>
    <t>P106</t>
  </si>
  <si>
    <t>Website</t>
  </si>
  <si>
    <t>Net Banking</t>
  </si>
  <si>
    <t>ORD-5003</t>
  </si>
  <si>
    <t>MATHURA</t>
  </si>
  <si>
    <t>Meera</t>
  </si>
  <si>
    <t>ORD-5004</t>
  </si>
  <si>
    <t>Gurgaon</t>
  </si>
  <si>
    <t>Vikram</t>
  </si>
  <si>
    <t>P108</t>
  </si>
  <si>
    <t>Consumer</t>
  </si>
  <si>
    <t>ORD-5005</t>
  </si>
  <si>
    <t>faridabad</t>
  </si>
  <si>
    <t>Sana</t>
  </si>
  <si>
    <t>P111</t>
  </si>
  <si>
    <t>Marketplace</t>
  </si>
  <si>
    <t>ORD-5006</t>
  </si>
  <si>
    <t>delhi</t>
  </si>
  <si>
    <t>Arjun</t>
  </si>
  <si>
    <t>Credit Card</t>
  </si>
  <si>
    <t>ORD-5007</t>
  </si>
  <si>
    <t>Noida</t>
  </si>
  <si>
    <t>P104</t>
  </si>
  <si>
    <t>credit card</t>
  </si>
  <si>
    <t>ORD-5008</t>
  </si>
  <si>
    <t>P102</t>
  </si>
  <si>
    <t>Debit Card</t>
  </si>
  <si>
    <t>ORD-5009</t>
  </si>
  <si>
    <t>P103</t>
  </si>
  <si>
    <t>ORD-5010</t>
  </si>
  <si>
    <t>Faridabad</t>
  </si>
  <si>
    <t>P101</t>
  </si>
  <si>
    <t>Retail Store</t>
  </si>
  <si>
    <t>Yes</t>
  </si>
  <si>
    <t>ORD-5011</t>
  </si>
  <si>
    <t>New Delhi</t>
  </si>
  <si>
    <t>ORD-5012</t>
  </si>
  <si>
    <t>noida</t>
  </si>
  <si>
    <t>ORD-5013</t>
  </si>
  <si>
    <t>mathura</t>
  </si>
  <si>
    <t>COD</t>
  </si>
  <si>
    <t>ORD-5014</t>
  </si>
  <si>
    <t>GURUGRAM</t>
  </si>
  <si>
    <t>upi</t>
  </si>
  <si>
    <t>ORD-5015</t>
  </si>
  <si>
    <t>P105</t>
  </si>
  <si>
    <t>ORD-5016</t>
  </si>
  <si>
    <t>UPI</t>
  </si>
  <si>
    <t>ORD-5017</t>
  </si>
  <si>
    <t>ORD-5018</t>
  </si>
  <si>
    <t>ORD-5019</t>
  </si>
  <si>
    <t>ORD-5020</t>
  </si>
  <si>
    <t>ORD-5021</t>
  </si>
  <si>
    <t>DELHI</t>
  </si>
  <si>
    <t>P110</t>
  </si>
  <si>
    <t>ORD-5022</t>
  </si>
  <si>
    <t>P112</t>
  </si>
  <si>
    <t>ORD-5023</t>
  </si>
  <si>
    <t>ORD-5024</t>
  </si>
  <si>
    <t>ORD-5025</t>
  </si>
  <si>
    <t>ORD-5026</t>
  </si>
  <si>
    <t>P107</t>
  </si>
  <si>
    <t>ORD-5027</t>
  </si>
  <si>
    <t>ORD-5028</t>
  </si>
  <si>
    <t>Mathura</t>
  </si>
  <si>
    <t>ORD-5029</t>
  </si>
  <si>
    <t>ORD-5030</t>
  </si>
  <si>
    <t>ORD-5031</t>
  </si>
  <si>
    <t>ORD-5032</t>
  </si>
  <si>
    <t>ORD-5033</t>
  </si>
  <si>
    <t>ORD-5034</t>
  </si>
  <si>
    <t>gurugram</t>
  </si>
  <si>
    <t>ORD-5035</t>
  </si>
  <si>
    <t>FARIDABAD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</si>
  <si>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</si>
  <si>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</si>
  <si>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</si>
  <si>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</si>
  <si>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</si>
  <si>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</si>
  <si>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</si>
  <si>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</si>
  <si>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</si>
  <si>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</si>
  <si>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</si>
  <si>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</si>
  <si>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</si>
  <si>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</si>
  <si>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</si>
  <si>
    <t>ORD-5051</t>
  </si>
  <si>
    <t>ORD-5052</t>
  </si>
  <si>
    <t>ORD-5053</t>
  </si>
  <si>
    <t>ORD-5054</t>
  </si>
  <si>
    <t>ORD-5055</t>
  </si>
  <si>
    <t>ORD-5056</t>
  </si>
  <si>
    <t>ORD-5057</t>
  </si>
  <si>
    <t>ORD-5058</t>
  </si>
  <si>
    <t>P999</t>
  </si>
  <si>
    <t>ORD-5059</t>
  </si>
  <si>
    <t>ORD-5060</t>
  </si>
  <si>
    <t>ORD-5061</t>
  </si>
  <si>
    <t>ORD-5062</t>
  </si>
  <si>
    <t>ORD-5063</t>
  </si>
  <si>
    <t>ORD-5064</t>
  </si>
  <si>
    <t>ORD-5065</t>
  </si>
  <si>
    <t>ORD-5066</t>
  </si>
  <si>
    <t>ORD-5067</t>
  </si>
  <si>
    <t>ORD-5068</t>
  </si>
  <si>
    <t>ORD-5069</t>
  </si>
  <si>
    <t>ORD-5070</t>
  </si>
  <si>
    <t>ORD-5071</t>
  </si>
  <si>
    <t>ORD-5072</t>
  </si>
  <si>
    <t>ORD-5073</t>
  </si>
  <si>
    <t>ORD-5074</t>
  </si>
  <si>
    <t>ORD-5075</t>
  </si>
  <si>
    <t>ORD-5076</t>
  </si>
  <si>
    <t>ORD-5077</t>
  </si>
  <si>
    <t>ORD-5078</t>
  </si>
  <si>
    <t>ORD-5079</t>
  </si>
  <si>
    <t>Gurugram</t>
  </si>
  <si>
    <t>ORD-5080</t>
  </si>
  <si>
    <t>ORD-5081</t>
  </si>
  <si>
    <t>ORD-5082</t>
  </si>
  <si>
    <t>ORD-5083</t>
  </si>
  <si>
    <t>ORD-5084</t>
  </si>
  <si>
    <t>ORD-5085</t>
  </si>
  <si>
    <t>ORD-5086</t>
  </si>
  <si>
    <t>ORD-5087</t>
  </si>
  <si>
    <t>ORD-5088</t>
  </si>
  <si>
    <t>ORD-5089</t>
  </si>
  <si>
    <t>ORD-5090</t>
  </si>
  <si>
    <t>ORD-5091</t>
  </si>
  <si>
    <t>ORD-5092</t>
  </si>
  <si>
    <t>ORD-5093</t>
  </si>
  <si>
    <t>ORD-5094</t>
  </si>
  <si>
    <t>ORD-5095</t>
  </si>
  <si>
    <t>ORD-5096</t>
  </si>
  <si>
    <t>ORD-5097</t>
  </si>
  <si>
    <t>ORD-5098</t>
  </si>
  <si>
    <t>ORD-5099</t>
  </si>
  <si>
    <t>ORD-5100</t>
  </si>
  <si>
    <t>ORD-5101</t>
  </si>
  <si>
    <t>ORD-5102</t>
  </si>
  <si>
    <t>ORD-5103</t>
  </si>
  <si>
    <t>ORD-5104</t>
  </si>
  <si>
    <t>ORD-5105</t>
  </si>
  <si>
    <t>ORD-5106</t>
  </si>
  <si>
    <t>ORD-5107</t>
  </si>
  <si>
    <t>ORD-5108</t>
  </si>
  <si>
    <t>ORD-5109</t>
  </si>
  <si>
    <t>ORD-5110</t>
  </si>
  <si>
    <t>ORD-5111</t>
  </si>
  <si>
    <t>ORD-5112</t>
  </si>
  <si>
    <t>ORD-5113</t>
  </si>
  <si>
    <t>ORD-5114</t>
  </si>
  <si>
    <t>ORD-5115</t>
  </si>
  <si>
    <t>ORD-5116</t>
  </si>
  <si>
    <t>ORD-5117</t>
  </si>
  <si>
    <t>ORD-5118</t>
  </si>
  <si>
    <t>ORD-5119</t>
  </si>
  <si>
    <t>ORD-5120</t>
  </si>
  <si>
    <t>ORD-5121</t>
  </si>
  <si>
    <t>ORD-5122</t>
  </si>
  <si>
    <t>ORD-5123</t>
  </si>
  <si>
    <t>ORD-5124</t>
  </si>
  <si>
    <t>ORD-5125</t>
  </si>
  <si>
    <t>ORD-5126</t>
  </si>
  <si>
    <t>ORD-5127</t>
  </si>
  <si>
    <t>ORD-5128</t>
  </si>
  <si>
    <t>ORD-5129</t>
  </si>
  <si>
    <t>ORD-5130</t>
  </si>
  <si>
    <t>ORD-5131</t>
  </si>
  <si>
    <t>ORD-5132</t>
  </si>
  <si>
    <t>ORD-5133</t>
  </si>
  <si>
    <t>ORD-5134</t>
  </si>
  <si>
    <t>ORD-5135</t>
  </si>
  <si>
    <t>ORD-5136</t>
  </si>
  <si>
    <t>ORD-5137</t>
  </si>
  <si>
    <t>ORD-5138</t>
  </si>
  <si>
    <t>ORD-5139</t>
  </si>
  <si>
    <t>ORD-5140</t>
  </si>
  <si>
    <t>ORD-5141</t>
  </si>
  <si>
    <t>ORD-5142</t>
  </si>
  <si>
    <t>ORD-5143</t>
  </si>
  <si>
    <t>ORD-5144</t>
  </si>
  <si>
    <t>ORD-5145</t>
  </si>
  <si>
    <t>ORD-5146</t>
  </si>
  <si>
    <t>ORD-5147</t>
  </si>
  <si>
    <t>ORD-5148</t>
  </si>
  <si>
    <t>ORD-5149</t>
  </si>
  <si>
    <t>ORD-5150</t>
  </si>
  <si>
    <t>ORD-5151</t>
  </si>
  <si>
    <t>ORD-5152</t>
  </si>
  <si>
    <t>ORD-5153</t>
  </si>
  <si>
    <t>ORD-5154</t>
  </si>
  <si>
    <t>ORD-5155</t>
  </si>
  <si>
    <t>ORD-5156</t>
  </si>
  <si>
    <t>ORD-5157</t>
  </si>
  <si>
    <t>ORD-5158</t>
  </si>
  <si>
    <t>ORD-5159</t>
  </si>
  <si>
    <t>ORD-5160</t>
  </si>
  <si>
    <t>ORD-5161</t>
  </si>
  <si>
    <t>ORD-5162</t>
  </si>
  <si>
    <t>ORD-5163</t>
  </si>
  <si>
    <t>ORD-5164</t>
  </si>
  <si>
    <t>ORD-5165</t>
  </si>
  <si>
    <t>ORD-5166</t>
  </si>
  <si>
    <t>ORD-5167</t>
  </si>
  <si>
    <t>ORD-5168</t>
  </si>
  <si>
    <t>ORD-5169</t>
  </si>
  <si>
    <t>ORD-5170</t>
  </si>
  <si>
    <t>ORD-5171</t>
  </si>
  <si>
    <t>ORD-5172</t>
  </si>
  <si>
    <t>ORD-5173</t>
  </si>
  <si>
    <t>ORD-5174</t>
  </si>
  <si>
    <t>ORD-5175</t>
  </si>
  <si>
    <t>ORD-5176</t>
  </si>
  <si>
    <t>ORD-5177</t>
  </si>
  <si>
    <t>ORD-5178</t>
  </si>
  <si>
    <t>ORD-5179</t>
  </si>
  <si>
    <t>ORD-5180</t>
  </si>
  <si>
    <t>ORD-5181</t>
  </si>
  <si>
    <t>ORD-5182</t>
  </si>
  <si>
    <t>ORD-5183</t>
  </si>
  <si>
    <t>ORD-5184</t>
  </si>
  <si>
    <t>ORD-5185</t>
  </si>
  <si>
    <t>ORD-5186</t>
  </si>
  <si>
    <t>ORD-5187</t>
  </si>
  <si>
    <t>ORD-5188</t>
  </si>
  <si>
    <t>ORD-5189</t>
  </si>
  <si>
    <t>ORD-5190</t>
  </si>
  <si>
    <t>ORD-5191</t>
  </si>
  <si>
    <t>ORD-5192</t>
  </si>
  <si>
    <t>ORD-5193</t>
  </si>
  <si>
    <t>ORD-5194</t>
  </si>
  <si>
    <t>ORD-5195</t>
  </si>
  <si>
    <t>ORD-5196</t>
  </si>
  <si>
    <t>ORD-5197</t>
  </si>
  <si>
    <t>ORD-5198</t>
  </si>
  <si>
    <t>ORD-5199</t>
  </si>
  <si>
    <t>ORD-5200</t>
  </si>
  <si>
    <t>ORD-5201</t>
  </si>
  <si>
    <t>ORD-5202</t>
  </si>
  <si>
    <t>ORD-5203</t>
  </si>
  <si>
    <t>ORD-5204</t>
  </si>
  <si>
    <t>ORD-5205</t>
  </si>
  <si>
    <t>ORD-5206</t>
  </si>
  <si>
    <t>ORD-5207</t>
  </si>
  <si>
    <t>ORD-5208</t>
  </si>
  <si>
    <t>ORD-5209</t>
  </si>
  <si>
    <t>ORD-5210</t>
  </si>
  <si>
    <t>ORD-5211</t>
  </si>
  <si>
    <t>ORD-5212</t>
  </si>
  <si>
    <t>ORD-5213</t>
  </si>
  <si>
    <t>ORD-5214</t>
  </si>
  <si>
    <t>ORD-5215</t>
  </si>
  <si>
    <t>ORD-5216</t>
  </si>
  <si>
    <t>ORD-5217</t>
  </si>
  <si>
    <t>ORD-5218</t>
  </si>
  <si>
    <t>ORD-5219</t>
  </si>
  <si>
    <t>ORD-5220</t>
  </si>
  <si>
    <t>ORD-5221</t>
  </si>
  <si>
    <t>ORD-5222</t>
  </si>
  <si>
    <t>ORD-5223</t>
  </si>
  <si>
    <t>ORD-5224</t>
  </si>
  <si>
    <t>ORD-5225</t>
  </si>
  <si>
    <t>ORD-5226</t>
  </si>
  <si>
    <t>ORD-5227</t>
  </si>
  <si>
    <t>ORD-5228</t>
  </si>
  <si>
    <t>ORD-5229</t>
  </si>
  <si>
    <t>ORD-5230</t>
  </si>
  <si>
    <t>ORD-5231</t>
  </si>
  <si>
    <t>ORD-5232</t>
  </si>
  <si>
    <t>ORD-5233</t>
  </si>
  <si>
    <t>ORD-5234</t>
  </si>
  <si>
    <t>ORD-5235</t>
  </si>
  <si>
    <t>ORD-5236</t>
  </si>
  <si>
    <t>ORD-5237</t>
  </si>
  <si>
    <t>ORD-5238</t>
  </si>
  <si>
    <t>ORD-5239</t>
  </si>
  <si>
    <t>ORD-5240</t>
  </si>
  <si>
    <t>ORD-5241</t>
  </si>
  <si>
    <t>ORD-5242</t>
  </si>
  <si>
    <t>ORD-5243</t>
  </si>
  <si>
    <t>ORD-5244</t>
  </si>
  <si>
    <t>ORD-5245</t>
  </si>
  <si>
    <t>ORD-5246</t>
  </si>
  <si>
    <t>ORD-5247</t>
  </si>
  <si>
    <t>ORD-5248</t>
  </si>
  <si>
    <t>ORD-5249</t>
  </si>
  <si>
    <t>ORD-5250</t>
  </si>
  <si>
    <t>ORD-5251</t>
  </si>
  <si>
    <t>ORD-5252</t>
  </si>
  <si>
    <t>ORD-5253</t>
  </si>
  <si>
    <t>ORD-5254</t>
  </si>
  <si>
    <t>ORD-5255</t>
  </si>
  <si>
    <t>ORD-5256</t>
  </si>
  <si>
    <t>ORD-5257</t>
  </si>
  <si>
    <t>ORD-5258</t>
  </si>
  <si>
    <t>ORD-5259</t>
  </si>
  <si>
    <t>ORD-5260</t>
  </si>
  <si>
    <t>ORD-5261</t>
  </si>
  <si>
    <t>ORD-5262</t>
  </si>
  <si>
    <t>ORD-5263</t>
  </si>
  <si>
    <t>ORD-5264</t>
  </si>
  <si>
    <t>ORD-5265</t>
  </si>
  <si>
    <t>ORD-5266</t>
  </si>
  <si>
    <t>ORD-5267</t>
  </si>
  <si>
    <t>ORD-5268</t>
  </si>
  <si>
    <t>ORD-5269</t>
  </si>
  <si>
    <t>ORD-5270</t>
  </si>
  <si>
    <t>ORD-5271</t>
  </si>
  <si>
    <t>ORD-5272</t>
  </si>
  <si>
    <t>ORD-5273</t>
  </si>
  <si>
    <t>ORD-5274</t>
  </si>
  <si>
    <t>ORD-5275</t>
  </si>
  <si>
    <t>ORD-5276</t>
  </si>
  <si>
    <t>ORD-5277</t>
  </si>
  <si>
    <t>ORD-5278</t>
  </si>
  <si>
    <t>ORD-5279</t>
  </si>
  <si>
    <t>ORD-5280</t>
  </si>
  <si>
    <t>ORD-5281</t>
  </si>
  <si>
    <t>ORD-5282</t>
  </si>
  <si>
    <t>ORD-5283</t>
  </si>
  <si>
    <t>ORD-5284</t>
  </si>
  <si>
    <t>ORD-5285</t>
  </si>
  <si>
    <t>ORD-5286</t>
  </si>
  <si>
    <t>ORD-5287</t>
  </si>
  <si>
    <t>ORD-5288</t>
  </si>
  <si>
    <t>ORD-5289</t>
  </si>
  <si>
    <t>ORD-5290</t>
  </si>
  <si>
    <t>ORD-5291</t>
  </si>
  <si>
    <t>ORD-5292</t>
  </si>
  <si>
    <t>ORD-5293</t>
  </si>
  <si>
    <t>ORD-5294</t>
  </si>
  <si>
    <t>ORD-5295</t>
  </si>
  <si>
    <t>ORD-5296</t>
  </si>
  <si>
    <t>ORD-5297</t>
  </si>
  <si>
    <t>ORD-5298</t>
  </si>
  <si>
    <t>ORD-5299</t>
  </si>
  <si>
    <t>ORD-5300</t>
  </si>
  <si>
    <t>ORD-5301</t>
  </si>
  <si>
    <t>ORD-5302</t>
  </si>
  <si>
    <t>ORD-5303</t>
  </si>
  <si>
    <t>ORD-5304</t>
  </si>
  <si>
    <t>ORD-5305</t>
  </si>
  <si>
    <t>ORD-5306</t>
  </si>
  <si>
    <t>ORD-5307</t>
  </si>
  <si>
    <t>ORD-5308</t>
  </si>
  <si>
    <t>ORD-5309</t>
  </si>
  <si>
    <t>ORD-5310</t>
  </si>
  <si>
    <t>ORD-5311</t>
  </si>
  <si>
    <t>ORD-5312</t>
  </si>
  <si>
    <t>ORD-5313</t>
  </si>
  <si>
    <t>ORD-5314</t>
  </si>
  <si>
    <t>ORD-5315</t>
  </si>
  <si>
    <t>ORD-5316</t>
  </si>
  <si>
    <t>ORD-5317</t>
  </si>
  <si>
    <t>ORD-5318</t>
  </si>
  <si>
    <t>ORD-5319</t>
  </si>
  <si>
    <t>ORD-5320</t>
  </si>
  <si>
    <t>ORD-5321</t>
  </si>
  <si>
    <t>ORD-5322</t>
  </si>
  <si>
    <t>ORD-5323</t>
  </si>
  <si>
    <t>ORD-5324</t>
  </si>
  <si>
    <t>ORD-5325</t>
  </si>
  <si>
    <t>ORD-5326</t>
  </si>
  <si>
    <t>ORD-5327</t>
  </si>
  <si>
    <t>ORD-5328</t>
  </si>
  <si>
    <t>ORD-5329</t>
  </si>
  <si>
    <t>ORD-5330</t>
  </si>
  <si>
    <t>ORD-5331</t>
  </si>
  <si>
    <t>ORD-5332</t>
  </si>
  <si>
    <t>ORD-5333</t>
  </si>
  <si>
    <t>ORD-5334</t>
  </si>
  <si>
    <t>ORD-5335</t>
  </si>
  <si>
    <t>ORD-5336</t>
  </si>
  <si>
    <t>ORD-5337</t>
  </si>
  <si>
    <t>ORD-5338</t>
  </si>
  <si>
    <t>ORD-5339</t>
  </si>
  <si>
    <t>ORD-5340</t>
  </si>
  <si>
    <t>ORD-5341</t>
  </si>
  <si>
    <t>ORD-5342</t>
  </si>
  <si>
    <t>ORD-5343</t>
  </si>
  <si>
    <t>ORD-5344</t>
  </si>
  <si>
    <t>ORD-5345</t>
  </si>
  <si>
    <t>ORD-5346</t>
  </si>
  <si>
    <t>ORD-5347</t>
  </si>
  <si>
    <t>ORD-5348</t>
  </si>
  <si>
    <t>ORD-5349</t>
  </si>
  <si>
    <t>ORD-5350</t>
  </si>
  <si>
    <t>ORD-5351</t>
  </si>
  <si>
    <t>ORD-5352</t>
  </si>
  <si>
    <t>ORD-5353</t>
  </si>
  <si>
    <t>ORD-5354</t>
  </si>
  <si>
    <t>ORD-5355</t>
  </si>
  <si>
    <t>ORD-5356</t>
  </si>
  <si>
    <t>ORD-5357</t>
  </si>
  <si>
    <t>ORD-5358</t>
  </si>
  <si>
    <t>ORD-5359</t>
  </si>
  <si>
    <t>ORD-5360</t>
  </si>
  <si>
    <t>Product Lookup — use this table for XLOOKUP</t>
  </si>
  <si>
    <t>Product_Name</t>
  </si>
  <si>
    <t>Category</t>
  </si>
  <si>
    <t>Unit_Price</t>
  </si>
  <si>
    <t>Unit_Cost</t>
  </si>
  <si>
    <t>Wireless Mouse</t>
  </si>
  <si>
    <t>Accessories</t>
  </si>
  <si>
    <t>Mechanical Keyboard</t>
  </si>
  <si>
    <t>HD Webcam</t>
  </si>
  <si>
    <t>USB-C Hub</t>
  </si>
  <si>
    <t>24-inch Monitor</t>
  </si>
  <si>
    <t>Displays</t>
  </si>
  <si>
    <t>Wireless Headset</t>
  </si>
  <si>
    <t>Audio</t>
  </si>
  <si>
    <t>Laptop Stand</t>
  </si>
  <si>
    <t>SSD 1TB</t>
  </si>
  <si>
    <t>Storage</t>
  </si>
  <si>
    <t>Ergonomic Chair</t>
  </si>
  <si>
    <t>Furniture</t>
  </si>
  <si>
    <t>LED Desk Lamp</t>
  </si>
  <si>
    <t>Bluetooth Speaker</t>
  </si>
  <si>
    <t>Portable HDD 2TB</t>
  </si>
  <si>
    <t>Monthly Salesperson Targets</t>
  </si>
  <si>
    <t>Monthly_Revenue_Target</t>
  </si>
  <si>
    <t>Monthly_Profit_Target</t>
  </si>
  <si>
    <t>E-commerce Sales &amp; Profitability Dashboard</t>
  </si>
  <si>
    <t>Net Revenue</t>
  </si>
  <si>
    <t>Profit</t>
  </si>
  <si>
    <t>Profit Margin</t>
  </si>
  <si>
    <t>Orders</t>
  </si>
  <si>
    <t>Return Rate</t>
  </si>
  <si>
    <t>Project Work Log</t>
  </si>
  <si>
    <t>Date</t>
  </si>
  <si>
    <t>Done alone?</t>
  </si>
  <si>
    <t>Help used</t>
  </si>
  <si>
    <t>Decision/check</t>
  </si>
  <si>
    <t>What I learned</t>
  </si>
  <si>
    <t>Unknown</t>
  </si>
  <si>
    <t>Done</t>
  </si>
  <si>
    <t>Discount_Value</t>
  </si>
  <si>
    <t>Gross_Revenue</t>
  </si>
  <si>
    <t>Net_Revenue</t>
  </si>
  <si>
    <t>Cost</t>
  </si>
  <si>
    <t>Lookup_Status</t>
  </si>
  <si>
    <t>Profit_Margin</t>
  </si>
  <si>
    <t>Delivery_Days</t>
  </si>
  <si>
    <t>Month</t>
  </si>
  <si>
    <t>Order_Band</t>
  </si>
  <si>
    <t>Row Labels</t>
  </si>
  <si>
    <t>Grand Total</t>
  </si>
  <si>
    <t>Sum of Net_Revenue</t>
  </si>
  <si>
    <t>Sum of Profit</t>
  </si>
  <si>
    <t>Actual Monthly Revenue</t>
  </si>
  <si>
    <t>Salesperson Vs Target</t>
  </si>
  <si>
    <t>Monthly Revenue Target</t>
  </si>
  <si>
    <t>24/8/26</t>
  </si>
  <si>
    <t>25/8/26</t>
  </si>
  <si>
    <t>2. December generated the lowest monthly profit (₹54,699), followed by February (₹67,584).</t>
  </si>
  <si>
    <t>1. September generated the highest monthly net revenue (₹510,109) and profit (₹138,589).</t>
  </si>
  <si>
    <t>3. Accessories generated the highest category profit (₹328,119), while Furniture generated the highest category revenue (₹1,050,342).</t>
  </si>
  <si>
    <t>4. Faridabad was the strongest city, producing ₹1,028,136 in net revenue and ₹282,666 in profit.</t>
  </si>
  <si>
    <t>5. None of the six salespersons met the monthly revenue target; achievement ranged from 9.5% for Arjun to 14.8% for Ananya.</t>
  </si>
  <si>
    <t>Three recommendations</t>
  </si>
  <si>
    <t>1. Investigate order volume, discounts, returns and product mix in February and December, then plan targeted promotions or inventory adjustments.</t>
  </si>
  <si>
    <t>2. Reset salesperson targets using historical monthly performance and introduce achievable staged milestones with coaching.</t>
  </si>
  <si>
    <r>
      <t xml:space="preserve">   3. Replicate the product and channel practices driving Faridabad and Accessories while correcting </t>
    </r>
    <r>
      <rPr>
        <sz val="10"/>
        <rFont val="Arial Unicode MS"/>
      </rPr>
      <t>Unknown</t>
    </r>
    <r>
      <rPr>
        <sz val="11"/>
        <rFont val="Carlito"/>
      </rPr>
      <t xml:space="preserve"> city records before making geographic decisions.</t>
    </r>
  </si>
  <si>
    <t>Learned how I can clean and analyze big data in very short amount of time and certain calculations and how xlookup is more useful than vlookup</t>
  </si>
  <si>
    <t>Learned difference b/w kpi and pivot table and how different graphs affect understanding as a viewer</t>
  </si>
  <si>
    <t>Data cleaning, lookups and calculated columns</t>
  </si>
  <si>
    <t>PivotTables, KPIs, charts and insights</t>
  </si>
  <si>
    <t>With guidance</t>
  </si>
  <si>
    <t>Excel documentation</t>
  </si>
  <si>
    <t>Validated calculations and data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</si>
</sst>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yyyy\-mm\-dd"/>
    <numFmt numFmtId="166" formatCode="0.0%"/>
    <numFmt numFmtId="167" formatCode="[$-409]mmm\-yy;@"/>
    <numFmt numFmtId="168" formatCode="_ [$₹-4009]\ * #,##0.00_ ;_ [$₹-4009]\ * \-#,##0.00_ ;_ [$₹-4009]\ * &quot;-&quot;??_ ;_ @_ "/>
  </numFmts>
  <fonts count="13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4"/>
      <color rgb="FFFFFFFF"/>
      <name val="Carlito"/>
    </font>
    <font>
      <b/>
      <sz val="18"/>
      <color rgb="FFFFFFFF"/>
      <name val="Carlito"/>
    </font>
    <font>
      <b/>
      <sz val="12"/>
      <color rgb="FF17365D"/>
      <name val="Carlito"/>
    </font>
    <font>
      <i/>
      <sz val="12"/>
      <color rgb="FF6B7280"/>
      <name val="Carlito"/>
    </font>
    <font>
      <sz val="11"/>
      <name val="Carlito"/>
    </font>
    <font>
      <sz val="11"/>
      <color theme="0"/>
      <name val="Carlito"/>
    </font>
    <font>
      <b/>
      <sz val="11"/>
      <name val="Carlito"/>
    </font>
    <font>
      <sz val="1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D9EDE9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0F766E"/>
      </left>
      <right/>
      <top style="thin">
        <color rgb="FF0F766E"/>
      </top>
      <bottom/>
      <diagonal/>
    </border>
    <border>
      <left/>
      <right/>
      <top style="thin">
        <color rgb="FF0F766E"/>
      </top>
      <bottom/>
      <diagonal/>
    </border>
    <border>
      <left/>
      <right style="thin">
        <color rgb="FF0F766E"/>
      </right>
      <top style="thin">
        <color rgb="FF0F766E"/>
      </top>
      <bottom/>
      <diagonal/>
    </border>
    <border>
      <left style="thin">
        <color rgb="FF0F766E"/>
      </left>
      <right/>
      <top/>
      <bottom/>
      <diagonal/>
    </border>
    <border>
      <left/>
      <right style="thin">
        <color rgb="FF0F766E"/>
      </right>
      <top/>
      <bottom/>
      <diagonal/>
    </border>
    <border>
      <left style="thin">
        <color rgb="FF0F766E"/>
      </left>
      <right/>
      <top/>
      <bottom style="thin">
        <color rgb="FF0F766E"/>
      </bottom>
      <diagonal/>
    </border>
    <border>
      <left/>
      <right/>
      <top/>
      <bottom style="thin">
        <color rgb="FF0F766E"/>
      </bottom>
      <diagonal/>
    </border>
    <border>
      <left/>
      <right style="thin">
        <color rgb="FF0F766E"/>
      </right>
      <top/>
      <bottom style="thin">
        <color rgb="FF0F766E"/>
      </bottom>
      <diagonal/>
    </border>
    <border>
      <left/>
      <right/>
      <top style="dashed">
        <color rgb="FF9CA3AF"/>
      </top>
      <bottom/>
      <diagonal/>
    </border>
    <border>
      <left/>
      <right style="dashed">
        <color rgb="FF9CA3AF"/>
      </right>
      <top style="dashed">
        <color rgb="FF9CA3AF"/>
      </top>
      <bottom/>
      <diagonal/>
    </border>
    <border>
      <left style="dashed">
        <color rgb="FF9CA3AF"/>
      </left>
      <right/>
      <top/>
      <bottom/>
      <diagonal/>
    </border>
    <border>
      <left/>
      <right style="dashed">
        <color rgb="FF9CA3AF"/>
      </right>
      <top/>
      <bottom/>
      <diagonal/>
    </border>
    <border>
      <left style="dashed">
        <color rgb="FF9CA3AF"/>
      </left>
      <right/>
      <top/>
      <bottom style="dashed">
        <color rgb="FF9CA3AF"/>
      </bottom>
      <diagonal/>
    </border>
    <border>
      <left/>
      <right/>
      <top/>
      <bottom style="dashed">
        <color rgb="FF9CA3AF"/>
      </bottom>
      <diagonal/>
    </border>
    <border>
      <left/>
      <right style="dashed">
        <color rgb="FF9CA3AF"/>
      </right>
      <top/>
      <bottom style="dashed">
        <color rgb="FF9CA3AF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1">
    <xf numFmtId="0" fontId="0" fillId="0" borderId="0" xfId="0"/>
    <xf numFmtId="0" fontId="3" fillId="4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8" xfId="0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165" fontId="0" fillId="0" borderId="4" xfId="0" applyNumberForma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65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8" fillId="6" borderId="18" xfId="0" applyFont="1" applyFill="1" applyBorder="1" applyAlignment="1">
      <alignment vertical="center"/>
    </xf>
    <xf numFmtId="0" fontId="8" fillId="6" borderId="19" xfId="0" applyFont="1" applyFill="1" applyBorder="1" applyAlignment="1">
      <alignment vertical="center"/>
    </xf>
    <xf numFmtId="0" fontId="8" fillId="6" borderId="20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21" xfId="0" applyFont="1" applyFill="1" applyBorder="1" applyAlignment="1">
      <alignment vertical="center"/>
    </xf>
    <xf numFmtId="0" fontId="8" fillId="6" borderId="22" xfId="0" applyFont="1" applyFill="1" applyBorder="1" applyAlignment="1">
      <alignment vertical="center"/>
    </xf>
    <xf numFmtId="0" fontId="8" fillId="6" borderId="23" xfId="0" applyFont="1" applyFill="1" applyBorder="1" applyAlignment="1">
      <alignment vertical="center"/>
    </xf>
    <xf numFmtId="0" fontId="8" fillId="6" borderId="2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8" fontId="0" fillId="0" borderId="0" xfId="0" applyNumberFormat="1" applyAlignment="1">
      <alignment horizontal="left" vertical="center" indent="9"/>
    </xf>
    <xf numFmtId="16" fontId="0" fillId="0" borderId="5" xfId="0" applyNumberForma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168" fontId="7" fillId="7" borderId="10" xfId="0" applyNumberFormat="1" applyFont="1" applyFill="1" applyBorder="1" applyAlignment="1">
      <alignment horizontal="center" vertical="center" wrapText="1"/>
    </xf>
    <xf numFmtId="168" fontId="7" fillId="7" borderId="11" xfId="0" applyNumberFormat="1" applyFont="1" applyFill="1" applyBorder="1" applyAlignment="1">
      <alignment horizontal="center" vertical="center" wrapText="1"/>
    </xf>
    <xf numFmtId="168" fontId="7" fillId="7" borderId="12" xfId="0" applyNumberFormat="1" applyFont="1" applyFill="1" applyBorder="1" applyAlignment="1">
      <alignment horizontal="center" vertical="center" wrapText="1"/>
    </xf>
    <xf numFmtId="168" fontId="7" fillId="7" borderId="13" xfId="0" applyNumberFormat="1" applyFont="1" applyFill="1" applyBorder="1" applyAlignment="1">
      <alignment horizontal="center" vertical="center" wrapText="1"/>
    </xf>
    <xf numFmtId="168" fontId="7" fillId="7" borderId="0" xfId="0" applyNumberFormat="1" applyFont="1" applyFill="1" applyAlignment="1">
      <alignment horizontal="center" vertical="center" wrapText="1"/>
    </xf>
    <xf numFmtId="168" fontId="7" fillId="7" borderId="14" xfId="0" applyNumberFormat="1" applyFont="1" applyFill="1" applyBorder="1" applyAlignment="1">
      <alignment horizontal="center" vertical="center" wrapText="1"/>
    </xf>
    <xf numFmtId="168" fontId="7" fillId="7" borderId="15" xfId="0" applyNumberFormat="1" applyFont="1" applyFill="1" applyBorder="1" applyAlignment="1">
      <alignment horizontal="center" vertical="center" wrapText="1"/>
    </xf>
    <xf numFmtId="168" fontId="7" fillId="7" borderId="16" xfId="0" applyNumberFormat="1" applyFont="1" applyFill="1" applyBorder="1" applyAlignment="1">
      <alignment horizontal="center" vertical="center" wrapText="1"/>
    </xf>
    <xf numFmtId="168" fontId="7" fillId="7" borderId="17" xfId="0" applyNumberFormat="1" applyFont="1" applyFill="1" applyBorder="1" applyAlignment="1">
      <alignment horizontal="center" vertical="center" wrapText="1"/>
    </xf>
    <xf numFmtId="9" fontId="7" fillId="7" borderId="10" xfId="1" applyFont="1" applyFill="1" applyBorder="1" applyAlignment="1">
      <alignment horizontal="center" vertical="center" wrapText="1"/>
    </xf>
    <xf numFmtId="9" fontId="7" fillId="7" borderId="11" xfId="1" applyFont="1" applyFill="1" applyBorder="1" applyAlignment="1">
      <alignment horizontal="center" vertical="center" wrapText="1"/>
    </xf>
    <xf numFmtId="9" fontId="7" fillId="7" borderId="12" xfId="1" applyFont="1" applyFill="1" applyBorder="1" applyAlignment="1">
      <alignment horizontal="center" vertical="center" wrapText="1"/>
    </xf>
    <xf numFmtId="9" fontId="7" fillId="7" borderId="13" xfId="1" applyFont="1" applyFill="1" applyBorder="1" applyAlignment="1">
      <alignment horizontal="center" vertical="center" wrapText="1"/>
    </xf>
    <xf numFmtId="9" fontId="7" fillId="7" borderId="0" xfId="1" applyFont="1" applyFill="1" applyBorder="1" applyAlignment="1">
      <alignment horizontal="center" vertical="center" wrapText="1"/>
    </xf>
    <xf numFmtId="9" fontId="7" fillId="7" borderId="14" xfId="1" applyFont="1" applyFill="1" applyBorder="1" applyAlignment="1">
      <alignment horizontal="center" vertical="center" wrapText="1"/>
    </xf>
    <xf numFmtId="9" fontId="7" fillId="7" borderId="15" xfId="1" applyFont="1" applyFill="1" applyBorder="1" applyAlignment="1">
      <alignment horizontal="center" vertical="center" wrapText="1"/>
    </xf>
    <xf numFmtId="9" fontId="7" fillId="7" borderId="16" xfId="1" applyFont="1" applyFill="1" applyBorder="1" applyAlignment="1">
      <alignment horizontal="center" vertical="center" wrapText="1"/>
    </xf>
    <xf numFmtId="9" fontId="7" fillId="7" borderId="17" xfId="1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5" fillId="2" borderId="0" xfId="0" applyFont="1" applyFill="1"/>
    <xf numFmtId="0" fontId="10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9">
    <dxf>
      <font>
        <b/>
        <color rgb="FF166534"/>
      </font>
      <fill>
        <patternFill patternType="solid">
          <bgColor rgb="FFDCFCE7"/>
        </patternFill>
      </fill>
    </dxf>
    <dxf>
      <numFmt numFmtId="168" formatCode="_ [$₹-4009]\ * #,##0.00_ ;_ [$₹-4009]\ * \-#,##0.00_ ;_ [$₹-4009]\ * &quot;-&quot;??_ ;_ @_ "/>
      <alignment horizontal="left" vertical="center" textRotation="0" wrapText="0" indent="9" justifyLastLine="0" shrinkToFit="0" readingOrder="0"/>
    </dxf>
    <dxf>
      <numFmt numFmtId="168" formatCode="_ [$₹-4009]\ * #,##0.00_ ;_ [$₹-4009]\ * \-#,##0.00_ ;_ [$₹-4009]\ * &quot;-&quot;??_ ;_ @_ "/>
      <alignment horizontal="left" vertical="center" textRotation="0" wrapText="0" indent="9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[Prashante_Ecommerce_Sales_Dashboard.xlsx]Pivot_Analysis!PivotTable1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analysis</a:t>
            </a:r>
            <a:r>
              <a:rPr lang="en-US" baseline="0"/>
              <a:t> of net revenue and profit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905936159177708"/>
          <c:y val="3.787878787878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Sum of Net_Revenue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Pivot_Analysis!$A$2:$A$14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Pivot_Analysis!$B$2:$B$14</c:f>
              <c:numCache>
                <c:formatCode>General</c:formatCode>
                <c:ptCount val="12"/>
                <c:pt idx="0">
                  <c:v>347480.44999999995</c:v>
                </c:pt>
                <c:pt idx="1">
                  <c:v>227343.74999999997</c:v>
                </c:pt>
                <c:pt idx="2">
                  <c:v>398596.00000000006</c:v>
                </c:pt>
                <c:pt idx="3">
                  <c:v>397527.59999999992</c:v>
                </c:pt>
                <c:pt idx="4">
                  <c:v>366911.05</c:v>
                </c:pt>
                <c:pt idx="5">
                  <c:v>318411.2</c:v>
                </c:pt>
                <c:pt idx="6">
                  <c:v>273176.40000000002</c:v>
                </c:pt>
                <c:pt idx="7">
                  <c:v>426069.2</c:v>
                </c:pt>
                <c:pt idx="8">
                  <c:v>510108.74999999994</c:v>
                </c:pt>
                <c:pt idx="9">
                  <c:v>320910.30000000005</c:v>
                </c:pt>
                <c:pt idx="10">
                  <c:v>395578.5</c:v>
                </c:pt>
                <c:pt idx="11">
                  <c:v>200149.05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E-4D1E-8CA4-30F2BD652F51}"/>
            </c:ext>
          </c:extLst>
        </c:ser>
        <c:ser>
          <c:idx val="1"/>
          <c:order val="1"/>
          <c:tx>
            <c:strRef>
              <c:f>Pivot_Analysis!$C$1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Pivot_Analysis!$A$2:$A$14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Pivot_Analysis!$C$2:$C$14</c:f>
              <c:numCache>
                <c:formatCode>General</c:formatCode>
                <c:ptCount val="12"/>
                <c:pt idx="0">
                  <c:v>102260.45000000001</c:v>
                </c:pt>
                <c:pt idx="1">
                  <c:v>67583.75</c:v>
                </c:pt>
                <c:pt idx="2">
                  <c:v>105395.99999999999</c:v>
                </c:pt>
                <c:pt idx="3">
                  <c:v>106417.60000000002</c:v>
                </c:pt>
                <c:pt idx="4">
                  <c:v>118641.04999999999</c:v>
                </c:pt>
                <c:pt idx="5">
                  <c:v>94751.199999999983</c:v>
                </c:pt>
                <c:pt idx="6">
                  <c:v>74026.400000000009</c:v>
                </c:pt>
                <c:pt idx="7">
                  <c:v>104249.2</c:v>
                </c:pt>
                <c:pt idx="8">
                  <c:v>138588.75</c:v>
                </c:pt>
                <c:pt idx="9">
                  <c:v>83590.299999999988</c:v>
                </c:pt>
                <c:pt idx="10">
                  <c:v>120018.50000000001</c:v>
                </c:pt>
                <c:pt idx="11">
                  <c:v>54699.05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E-4D1E-8CA4-30F2BD652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652383"/>
        <c:axId val="1855035343"/>
      </c:lineChart>
      <c:catAx>
        <c:axId val="20236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35343"/>
        <c:crosses val="autoZero"/>
        <c:auto val="1"/>
        <c:lblAlgn val="ctr"/>
        <c:lblOffset val="100"/>
        <c:noMultiLvlLbl val="0"/>
      </c:catAx>
      <c:valAx>
        <c:axId val="18550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6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[Prashante_Ecommerce_Sales_Dashboard.xlsx]Pivot_Analysis!PivotTable3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Pivot_Analysis!$J$1</c:f>
              <c:strCache>
                <c:ptCount val="1"/>
                <c:pt idx="0">
                  <c:v>Sum of 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Pivot_Analysis!$I$2:$I$7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Displays</c:v>
                </c:pt>
                <c:pt idx="3">
                  <c:v>Furniture</c:v>
                </c:pt>
                <c:pt idx="4">
                  <c:v>Storage</c:v>
                </c:pt>
              </c:strCache>
            </c:strRef>
          </c:cat>
          <c:val>
            <c:numRef>
              <c:f>Pivot_Analysis!$J$2:$J$7</c:f>
              <c:numCache>
                <c:formatCode>General</c:formatCode>
                <c:ptCount val="5"/>
                <c:pt idx="0">
                  <c:v>835809.05000000028</c:v>
                </c:pt>
                <c:pt idx="1">
                  <c:v>441031.89999999997</c:v>
                </c:pt>
                <c:pt idx="2">
                  <c:v>879382.35</c:v>
                </c:pt>
                <c:pt idx="3">
                  <c:v>1050341.95</c:v>
                </c:pt>
                <c:pt idx="4">
                  <c:v>975696.99999999977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C-494F-8E44-B98EDD1D19A0}"/>
            </c:ext>
          </c:extLst>
        </c:ser>
        <c:ser>
          <c:idx val="1"/>
          <c:order val="1"/>
          <c:tx>
            <c:strRef>
              <c:f>Pivot_Analysis!$K$1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Pivot_Analysis!$I$2:$I$7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Displays</c:v>
                </c:pt>
                <c:pt idx="3">
                  <c:v>Furniture</c:v>
                </c:pt>
                <c:pt idx="4">
                  <c:v>Storage</c:v>
                </c:pt>
              </c:strCache>
            </c:strRef>
          </c:cat>
          <c:val>
            <c:numRef>
              <c:f>Pivot_Analysis!$K$2:$K$7</c:f>
              <c:numCache>
                <c:formatCode>General</c:formatCode>
                <c:ptCount val="5"/>
                <c:pt idx="0">
                  <c:v>328119.05</c:v>
                </c:pt>
                <c:pt idx="1">
                  <c:v>153181.9</c:v>
                </c:pt>
                <c:pt idx="2">
                  <c:v>196882.35</c:v>
                </c:pt>
                <c:pt idx="3">
                  <c:v>269241.95</c:v>
                </c:pt>
                <c:pt idx="4">
                  <c:v>222797.00000000003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C-494F-8E44-B98EDD1D1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806671"/>
        <c:axId val="1854940303"/>
      </c:barChart>
      <c:catAx>
        <c:axId val="20268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40303"/>
        <c:crosses val="autoZero"/>
        <c:auto val="1"/>
        <c:lblAlgn val="ctr"/>
        <c:lblOffset val="100"/>
        <c:noMultiLvlLbl val="0"/>
      </c:catAx>
      <c:valAx>
        <c:axId val="185494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0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[Prashante_Ecommerce_Sales_Dashboard.xlsx]Pivot_Analysis!PivotTable2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and Profit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Pivot_Analysis!$F$1</c:f>
              <c:strCache>
                <c:ptCount val="1"/>
                <c:pt idx="0">
                  <c:v>Sum of Net_Revenue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Pivot_Analysis!$E$2:$E$8</c:f>
              <c:strCache>
                <c:ptCount val="6"/>
                <c:pt idx="0">
                  <c:v>Delhi</c:v>
                </c:pt>
                <c:pt idx="1">
                  <c:v>Faridabad</c:v>
                </c:pt>
                <c:pt idx="2">
                  <c:v>Gurugram</c:v>
                </c:pt>
                <c:pt idx="3">
                  <c:v>Mathura</c:v>
                </c:pt>
                <c:pt idx="4">
                  <c:v>Noida</c:v>
                </c:pt>
                <c:pt idx="5">
                  <c:v>Unknown</c:v>
                </c:pt>
              </c:strCache>
            </c:strRef>
          </c:cat>
          <c:val>
            <c:numRef>
              <c:f>Pivot_Analysis!$F$2:$F$8</c:f>
              <c:numCache>
                <c:formatCode>General</c:formatCode>
                <c:ptCount val="6"/>
                <c:pt idx="0">
                  <c:v>833653.79999999993</c:v>
                </c:pt>
                <c:pt idx="1">
                  <c:v>1028136.25</c:v>
                </c:pt>
                <c:pt idx="2">
                  <c:v>706352.1</c:v>
                </c:pt>
                <c:pt idx="3">
                  <c:v>674139.95</c:v>
                </c:pt>
                <c:pt idx="4">
                  <c:v>799625.05000000016</c:v>
                </c:pt>
                <c:pt idx="5">
                  <c:v>140355.1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A-4FAF-8A7E-EA57DAB330BF}"/>
            </c:ext>
          </c:extLst>
        </c:ser>
        <c:ser>
          <c:idx val="1"/>
          <c:order val="1"/>
          <c:tx>
            <c:strRef>
              <c:f>Pivot_Analysis!$G$1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Pivot_Analysis!$E$2:$E$8</c:f>
              <c:strCache>
                <c:ptCount val="6"/>
                <c:pt idx="0">
                  <c:v>Delhi</c:v>
                </c:pt>
                <c:pt idx="1">
                  <c:v>Faridabad</c:v>
                </c:pt>
                <c:pt idx="2">
                  <c:v>Gurugram</c:v>
                </c:pt>
                <c:pt idx="3">
                  <c:v>Mathura</c:v>
                </c:pt>
                <c:pt idx="4">
                  <c:v>Noida</c:v>
                </c:pt>
                <c:pt idx="5">
                  <c:v>Unknown</c:v>
                </c:pt>
              </c:strCache>
            </c:strRef>
          </c:cat>
          <c:val>
            <c:numRef>
              <c:f>Pivot_Analysis!$G$2:$G$8</c:f>
              <c:numCache>
                <c:formatCode>General</c:formatCode>
                <c:ptCount val="6"/>
                <c:pt idx="0">
                  <c:v>237983.8</c:v>
                </c:pt>
                <c:pt idx="1">
                  <c:v>282666.25</c:v>
                </c:pt>
                <c:pt idx="2">
                  <c:v>197342.1</c:v>
                </c:pt>
                <c:pt idx="3">
                  <c:v>190179.95</c:v>
                </c:pt>
                <c:pt idx="4">
                  <c:v>228725.05</c:v>
                </c:pt>
                <c:pt idx="5">
                  <c:v>33325.100000000006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A-4FAF-8A7E-EA57DAB3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885743"/>
        <c:axId val="1854952783"/>
      </c:barChart>
      <c:catAx>
        <c:axId val="186188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52783"/>
        <c:crosses val="autoZero"/>
        <c:auto val="1"/>
        <c:lblAlgn val="ctr"/>
        <c:lblOffset val="100"/>
        <c:noMultiLvlLbl val="0"/>
      </c:catAx>
      <c:valAx>
        <c:axId val="18549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88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Monthly Revenue vs Monthly Target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Sales_Targets!$E$3</c:f>
              <c:strCache>
                <c:ptCount val="1"/>
                <c:pt idx="0">
                  <c:v>Actual Monthly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Sales_Targets!$D$4:$D$9</c:f>
              <c:strCache>
                <c:ptCount val="6"/>
                <c:pt idx="0">
                  <c:v>Ananya</c:v>
                </c:pt>
                <c:pt idx="1">
                  <c:v>Rohan</c:v>
                </c:pt>
                <c:pt idx="2">
                  <c:v>Meera</c:v>
                </c:pt>
                <c:pt idx="3">
                  <c:v>Vikram</c:v>
                </c:pt>
                <c:pt idx="4">
                  <c:v>Sana</c:v>
                </c:pt>
                <c:pt idx="5">
                  <c:v>Arjun</c:v>
                </c:pt>
              </c:strCache>
            </c:strRef>
          </c:cat>
          <c:val>
            <c:numRef>
              <c:f>Sales_Targets!$E$4:$E$9</c:f>
              <c:numCache>
                <c:formatCode>_ [$₹-4009]\ * #,##0.00_ ;_ [$₹-4009]\ * \-#,##0.00_ ;_ [$₹-4009]\ * "-"??_ ;_ @_ </c:formatCode>
                <c:ptCount val="6"/>
                <c:pt idx="0">
                  <c:v>61991.504166666673</c:v>
                </c:pt>
                <c:pt idx="1">
                  <c:v>58926.820833333331</c:v>
                </c:pt>
                <c:pt idx="2">
                  <c:v>59442.391666666663</c:v>
                </c:pt>
                <c:pt idx="3">
                  <c:v>52374.016666666656</c:v>
                </c:pt>
                <c:pt idx="4">
                  <c:v>63820.383333333331</c:v>
                </c:pt>
                <c:pt idx="5">
                  <c:v>51966.737499999988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9-4DBB-BCA4-14580B0C195A}"/>
            </c:ext>
          </c:extLst>
        </c:ser>
        <c:ser>
          <c:idx val="1"/>
          <c:order val="1"/>
          <c:tx>
            <c:strRef>
              <c:f>Sales_Targets!$F$3</c:f>
              <c:strCache>
                <c:ptCount val="1"/>
                <c:pt idx="0">
                  <c:v>Monthly Revenue 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Sales_Targets!$D$4:$D$9</c:f>
              <c:strCache>
                <c:ptCount val="6"/>
                <c:pt idx="0">
                  <c:v>Ananya</c:v>
                </c:pt>
                <c:pt idx="1">
                  <c:v>Rohan</c:v>
                </c:pt>
                <c:pt idx="2">
                  <c:v>Meera</c:v>
                </c:pt>
                <c:pt idx="3">
                  <c:v>Vikram</c:v>
                </c:pt>
                <c:pt idx="4">
                  <c:v>Sana</c:v>
                </c:pt>
                <c:pt idx="5">
                  <c:v>Arjun</c:v>
                </c:pt>
              </c:strCache>
            </c:strRef>
          </c:cat>
          <c:val>
            <c:numRef>
              <c:f>Sales_Targets!$F$4:$F$9</c:f>
              <c:numCache>
                <c:formatCode>_ [$₹-4009]\ * #,##0.00_ ;_ [$₹-4009]\ * \-#,##0.00_ ;_ [$₹-4009]\ * "-"??_ ;_ @_ </c:formatCode>
                <c:ptCount val="6"/>
                <c:pt idx="0">
                  <c:v>420000</c:v>
                </c:pt>
                <c:pt idx="1">
                  <c:v>445000</c:v>
                </c:pt>
                <c:pt idx="2">
                  <c:v>470000</c:v>
                </c:pt>
                <c:pt idx="3">
                  <c:v>495000</c:v>
                </c:pt>
                <c:pt idx="4">
                  <c:v>520000</c:v>
                </c:pt>
                <c:pt idx="5">
                  <c:v>545000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9-4DBB-BCA4-14580B0C1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3115167"/>
        <c:axId val="1620950639"/>
      </c:barChart>
      <c:catAx>
        <c:axId val="164311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950639"/>
        <c:crosses val="autoZero"/>
        <c:auto val="1"/>
        <c:lblAlgn val="ctr"/>
        <c:lblOffset val="100"/>
        <c:noMultiLvlLbl val="0"/>
      </c:catAx>
      <c:valAx>
        <c:axId val="162095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1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114300</xdr:rowOff>
    </xdr:from>
    <xdr:to>
      <xdr:col>6</xdr:col>
      <xdr:colOff>876300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2BB61-9474-48A9-AF11-AC06B523D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8</xdr:row>
      <xdr:rowOff>144780</xdr:rowOff>
    </xdr:from>
    <xdr:to>
      <xdr:col>13</xdr:col>
      <xdr:colOff>1059180</xdr:colOff>
      <xdr:row>19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D1240C-E437-47B4-A2AA-F5E3E219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38100</xdr:rowOff>
    </xdr:from>
    <xdr:to>
      <xdr:col>7</xdr:col>
      <xdr:colOff>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5C4126-6497-4AF8-8F2C-68E3B21B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</xdr:colOff>
      <xdr:row>20</xdr:row>
      <xdr:rowOff>22860</xdr:rowOff>
    </xdr:from>
    <xdr:to>
      <xdr:col>14</xdr:col>
      <xdr:colOff>30480</xdr:colOff>
      <xdr:row>33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18EAE1-646E-4C75-810B-C9EC5CD9A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E ." refreshedDate="46258.62791516204" createdVersion="8" refreshedVersion="8" minRefreshableVersion="3" recordCount="360" xr:uid="{0887EF8E-D804-4C51-AF4C-D622DCB7093A}">
  <cacheSource type="worksheet">
    <worksheetSource ref="A1:AA361" sheet="Cleaned_data"/>
  </cacheSource>
  <cacheFields count="29">
    <cacheField name="Order_ID" numFmtId="0">
      <sharedItems/>
    </cacheField>
    <cacheField name="Order_Date" numFmtId="165">
      <sharedItems containsSemiMixedTypes="0" containsNonDate="0" containsDate="1" containsString="0" minDate="2025-01-01T00:00:00" maxDate="2026-01-01T00:00:00"/>
    </cacheField>
    <cacheField name="Ship_Date" numFmtId="165">
      <sharedItems containsSemiMixedTypes="0" containsNonDate="0" containsDate="1" containsString="0" minDate="2025-01-05T00:00:00" maxDate="2026-01-07T00:00:00"/>
    </cacheField>
    <cacheField name="City" numFmtId="0">
      <sharedItems count="6">
        <s v="Delhi"/>
        <s v="Noida"/>
        <s v="Mathura"/>
        <s v="Gurugram"/>
        <s v="Faridabad"/>
        <s v="Unknown"/>
      </sharedItems>
    </cacheField>
    <cacheField name="Salesperson" numFmtId="0">
      <sharedItems count="6">
        <s v="Ananya"/>
        <s v="Rohan"/>
        <s v="Meera"/>
        <s v="Vikram"/>
        <s v="Sana"/>
        <s v="Arjun"/>
      </sharedItems>
    </cacheField>
    <cacheField name="Product_Code" numFmtId="0">
      <sharedItems/>
    </cacheField>
    <cacheField name="Sales_Channel" numFmtId="0">
      <sharedItems count="4">
        <s v="Corporate"/>
        <s v="Website"/>
        <s v="Marketplace"/>
        <s v="Retail Store"/>
      </sharedItems>
    </cacheField>
    <cacheField name="Customer_Segment" numFmtId="0">
      <sharedItems/>
    </cacheField>
    <cacheField name="Quantity" numFmtId="1">
      <sharedItems containsSemiMixedTypes="0" containsString="0" containsNumber="1" containsInteger="1" minValue="1" maxValue="5"/>
    </cacheField>
    <cacheField name="Discount_Pct" numFmtId="9">
      <sharedItems containsSemiMixedTypes="0" containsString="0" containsNumber="1" minValue="0" maxValue="0.2"/>
    </cacheField>
    <cacheField name="Payment_Mode" numFmtId="0">
      <sharedItems/>
    </cacheField>
    <cacheField name="Returned" numFmtId="0">
      <sharedItems/>
    </cacheField>
    <cacheField name="Customer_Rating" numFmtId="1">
      <sharedItems containsSemiMixedTypes="0" containsString="0" containsNumber="1" containsInteger="1" minValue="1" maxValue="5"/>
    </cacheField>
    <cacheField name="Product_Name" numFmtId="0">
      <sharedItems/>
    </cacheField>
    <cacheField name="Category" numFmtId="0">
      <sharedItems count="6">
        <s v="Furniture"/>
        <s v="Audio"/>
        <s v="Storage"/>
        <s v="Accessories"/>
        <s v="Displays"/>
        <s v="NOT FOUND"/>
      </sharedItems>
    </cacheField>
    <cacheField name="Unit_Price" numFmtId="0">
      <sharedItems containsMixedTypes="1" containsNumber="1" containsInteger="1" minValue="799" maxValue="12999"/>
    </cacheField>
    <cacheField name="Lookup_Status" numFmtId="0">
      <sharedItems/>
    </cacheField>
    <cacheField name="Unit_Cost" numFmtId="0">
      <sharedItems containsMixedTypes="1" containsNumber="1" containsInteger="1" minValue="420" maxValue="9100"/>
    </cacheField>
    <cacheField name="Gross_Revenue" numFmtId="0">
      <sharedItems containsMixedTypes="1" containsNumber="1" containsInteger="1" minValue="799" maxValue="64995"/>
    </cacheField>
    <cacheField name="Discount_Value" numFmtId="0">
      <sharedItems containsMixedTypes="1" containsNumber="1" minValue="0" maxValue="12999"/>
    </cacheField>
    <cacheField name="Net_Revenue" numFmtId="0">
      <sharedItems containsMixedTypes="1" containsNumber="1" minValue="639.20000000000005" maxValue="58495.5"/>
    </cacheField>
    <cacheField name="Cost" numFmtId="0">
      <sharedItems containsMixedTypes="1" containsNumber="1" containsInteger="1" minValue="420" maxValue="45500"/>
    </cacheField>
    <cacheField name="Profit" numFmtId="0">
      <sharedItems containsMixedTypes="1" containsNumber="1" minValue="219.20000000000005" maxValue="15596"/>
    </cacheField>
    <cacheField name="Profit_Margin" numFmtId="166">
      <sharedItems containsMixedTypes="1" containsNumber="1" minValue="9.5151919230402976E-2" maxValue="0.48393891521853605"/>
    </cacheField>
    <cacheField name="Delivery_Days" numFmtId="0">
      <sharedItems containsSemiMixedTypes="0" containsString="0" containsNumber="1" containsInteger="1" minValue="1" maxValue="8"/>
    </cacheField>
    <cacheField name="Month" numFmtId="167">
      <sharedItems containsSemiMixedTypes="0" containsNonDate="0" containsDate="1" containsString="0" minDate="2025-01-01T00:00:00" maxDate="2025-12-02T00:00:00" count="12">
        <d v="2025-05-01T00:00:00"/>
        <d v="2025-11-01T00:00:00"/>
        <d v="2025-07-01T00:00:00"/>
        <d v="2025-06-01T00:00:00"/>
        <d v="2025-12-01T00:00:00"/>
        <d v="2025-02-01T00:00:00"/>
        <d v="2025-04-01T00:00:00"/>
        <d v="2025-08-01T00:00:00"/>
        <d v="2025-03-01T00:00:00"/>
        <d v="2025-09-01T00:00:00"/>
        <d v="2025-10-01T00:00:00"/>
        <d v="2025-01-01T00:00:00"/>
      </sharedItems>
      <fieldGroup par="28"/>
    </cacheField>
    <cacheField name="Order_Band" numFmtId="0">
      <sharedItems/>
    </cacheField>
    <cacheField name="Days (Month)" numFmtId="0" databaseField="0">
      <fieldGroup base="25">
        <rangePr groupBy="days" startDate="2025-01-01T00:00:00" endDate="2025-12-02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5"/>
        </groupItems>
      </fieldGroup>
    </cacheField>
    <cacheField name="Months (Month)" numFmtId="0" databaseField="0">
      <fieldGroup base="25">
        <rangePr groupBy="months" startDate="2025-01-01T00:00:00" endDate="2025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s v="ORD-5001"/>
    <d v="2025-05-15T00:00:00"/>
    <d v="2025-05-17T00:00:00"/>
    <x v="0"/>
    <x v="0"/>
    <s v="P109"/>
    <x v="0"/>
    <s v="Small Business"/>
    <n v="2"/>
    <n v="0"/>
    <s v="Cash on Delivery"/>
    <s v="No"/>
    <n v="4"/>
    <s v="Ergonomic Chair"/>
    <x v="0"/>
    <n v="10499"/>
    <s v="OK"/>
    <n v="7600"/>
    <n v="20998"/>
    <n v="0"/>
    <n v="20998"/>
    <n v="15200"/>
    <n v="5798"/>
    <n v="0.27612153538432233"/>
    <n v="2"/>
    <x v="0"/>
    <s v="High"/>
  </r>
  <r>
    <s v="ORD-5002"/>
    <d v="2025-11-24T00:00:00"/>
    <d v="2025-11-26T00:00:00"/>
    <x v="1"/>
    <x v="1"/>
    <s v="P106"/>
    <x v="1"/>
    <s v="Small Business"/>
    <n v="2"/>
    <n v="0"/>
    <s v="Net Banking"/>
    <s v="No"/>
    <n v="3"/>
    <s v="Wireless Headset"/>
    <x v="1"/>
    <n v="3499"/>
    <s v="OK"/>
    <n v="2100"/>
    <n v="6998"/>
    <n v="0"/>
    <n v="6998"/>
    <n v="4200"/>
    <n v="2798"/>
    <n v="0.3998285224349814"/>
    <n v="2"/>
    <x v="1"/>
    <s v="Low"/>
  </r>
  <r>
    <s v="ORD-5003"/>
    <d v="2025-05-05T00:00:00"/>
    <d v="2025-05-06T00:00:00"/>
    <x v="2"/>
    <x v="2"/>
    <s v="P106"/>
    <x v="1"/>
    <s v="Corporate"/>
    <n v="1"/>
    <n v="0"/>
    <s v="Cash on Delivery"/>
    <s v="No"/>
    <n v="3"/>
    <s v="Wireless Headset"/>
    <x v="1"/>
    <n v="3499"/>
    <s v="OK"/>
    <n v="2100"/>
    <n v="3499"/>
    <n v="0"/>
    <n v="3499"/>
    <n v="2100"/>
    <n v="1399"/>
    <n v="0.3998285224349814"/>
    <n v="1"/>
    <x v="0"/>
    <s v="Low"/>
  </r>
  <r>
    <s v="ORD-5004"/>
    <d v="2025-07-13T00:00:00"/>
    <d v="2025-07-20T00:00:00"/>
    <x v="3"/>
    <x v="3"/>
    <s v="P108"/>
    <x v="0"/>
    <s v="Consumer"/>
    <n v="2"/>
    <n v="0.05"/>
    <s v="Cash on Delivery"/>
    <s v="No"/>
    <n v="4"/>
    <s v="SSD 1TB"/>
    <x v="2"/>
    <n v="6999"/>
    <s v="OK"/>
    <n v="4900"/>
    <n v="13998"/>
    <n v="699.90000000000009"/>
    <n v="13298.1"/>
    <n v="9800"/>
    <n v="3498.1000000000004"/>
    <n v="0.26305261653920486"/>
    <n v="7"/>
    <x v="2"/>
    <s v="Medium"/>
  </r>
  <r>
    <s v="ORD-5005"/>
    <d v="2025-06-30T00:00:00"/>
    <d v="2025-07-05T00:00:00"/>
    <x v="4"/>
    <x v="4"/>
    <s v="P111"/>
    <x v="2"/>
    <s v="Consumer"/>
    <n v="1"/>
    <n v="0.2"/>
    <s v="Net Banking"/>
    <s v="No"/>
    <n v="5"/>
    <s v="Bluetooth Speaker"/>
    <x v="1"/>
    <n v="2799"/>
    <s v="OK"/>
    <n v="1650"/>
    <n v="2799"/>
    <n v="559.80000000000007"/>
    <n v="2239.1999999999998"/>
    <n v="1650"/>
    <n v="589.19999999999982"/>
    <n v="0.26312968917470519"/>
    <n v="5"/>
    <x v="3"/>
    <s v="Low"/>
  </r>
  <r>
    <s v="ORD-5006"/>
    <d v="2025-11-03T00:00:00"/>
    <d v="2025-11-11T00:00:00"/>
    <x v="0"/>
    <x v="5"/>
    <s v="P106"/>
    <x v="1"/>
    <s v="Small Business"/>
    <n v="4"/>
    <n v="0.1"/>
    <s v="Credit Card"/>
    <s v="No"/>
    <n v="4"/>
    <s v="Wireless Headset"/>
    <x v="1"/>
    <n v="3499"/>
    <s v="OK"/>
    <n v="2100"/>
    <n v="13996"/>
    <n v="1399.6000000000001"/>
    <n v="12596.4"/>
    <n v="8400"/>
    <n v="4196.3999999999996"/>
    <n v="0.33314280270553487"/>
    <n v="8"/>
    <x v="1"/>
    <s v="Medium"/>
  </r>
  <r>
    <s v="ORD-5007"/>
    <d v="2025-06-04T00:00:00"/>
    <d v="2025-06-08T00:00:00"/>
    <x v="1"/>
    <x v="0"/>
    <s v="P104"/>
    <x v="0"/>
    <s v="Consumer"/>
    <n v="5"/>
    <n v="0"/>
    <s v="Credit Card"/>
    <s v="No"/>
    <n v="3"/>
    <s v="USB-C Hub"/>
    <x v="3"/>
    <n v="1599"/>
    <s v="OK"/>
    <n v="870"/>
    <n v="7995"/>
    <n v="0"/>
    <n v="7995"/>
    <n v="4350"/>
    <n v="3645"/>
    <n v="0.45590994371482174"/>
    <n v="4"/>
    <x v="3"/>
    <s v="Low"/>
  </r>
  <r>
    <s v="ORD-5008"/>
    <d v="2025-12-29T00:00:00"/>
    <d v="2026-01-02T00:00:00"/>
    <x v="2"/>
    <x v="1"/>
    <s v="P102"/>
    <x v="2"/>
    <s v="Corporate"/>
    <n v="5"/>
    <n v="0"/>
    <s v="Debit Card"/>
    <s v="No"/>
    <n v="5"/>
    <s v="Mechanical Keyboard"/>
    <x v="3"/>
    <n v="2499"/>
    <s v="OK"/>
    <n v="1450"/>
    <n v="12495"/>
    <n v="0"/>
    <n v="12495"/>
    <n v="7250"/>
    <n v="5245"/>
    <n v="0.41976790716286516"/>
    <n v="4"/>
    <x v="4"/>
    <s v="Medium"/>
  </r>
  <r>
    <s v="ORD-5009"/>
    <d v="2025-06-21T00:00:00"/>
    <d v="2025-06-24T00:00:00"/>
    <x v="3"/>
    <x v="2"/>
    <s v="P103"/>
    <x v="2"/>
    <s v="Small Business"/>
    <n v="3"/>
    <n v="0.1"/>
    <s v="Credit Card"/>
    <s v="No"/>
    <n v="4"/>
    <s v="HD Webcam"/>
    <x v="3"/>
    <n v="2899"/>
    <s v="OK"/>
    <n v="1700"/>
    <n v="8697"/>
    <n v="869.7"/>
    <n v="7827.3"/>
    <n v="5100"/>
    <n v="2727.3"/>
    <n v="0.34843432601280139"/>
    <n v="3"/>
    <x v="3"/>
    <s v="Low"/>
  </r>
  <r>
    <s v="ORD-5010"/>
    <d v="2025-05-01T00:00:00"/>
    <d v="2025-05-09T00:00:00"/>
    <x v="4"/>
    <x v="3"/>
    <s v="P101"/>
    <x v="3"/>
    <s v="Small Business"/>
    <n v="3"/>
    <n v="0.2"/>
    <s v="Credit Card"/>
    <s v="Yes"/>
    <n v="1"/>
    <s v="Wireless Mouse"/>
    <x v="3"/>
    <n v="799"/>
    <s v="OK"/>
    <n v="420"/>
    <n v="2397"/>
    <n v="479.40000000000003"/>
    <n v="1917.6"/>
    <n v="1260"/>
    <n v="657.59999999999991"/>
    <n v="0.34292866082603252"/>
    <n v="8"/>
    <x v="0"/>
    <s v="Low"/>
  </r>
  <r>
    <s v="ORD-5011"/>
    <d v="2025-02-07T00:00:00"/>
    <d v="2025-02-11T00:00:00"/>
    <x v="0"/>
    <x v="4"/>
    <s v="P104"/>
    <x v="1"/>
    <s v="Small Business"/>
    <n v="2"/>
    <n v="0.1"/>
    <s v="Credit Card"/>
    <s v="No"/>
    <n v="5"/>
    <s v="USB-C Hub"/>
    <x v="3"/>
    <n v="1599"/>
    <s v="OK"/>
    <n v="870"/>
    <n v="3198"/>
    <n v="319.8"/>
    <n v="2878.2"/>
    <n v="1740"/>
    <n v="1138.1999999999998"/>
    <n v="0.3954554930164686"/>
    <n v="4"/>
    <x v="5"/>
    <s v="Low"/>
  </r>
  <r>
    <s v="ORD-5012"/>
    <d v="2025-12-15T00:00:00"/>
    <d v="2025-12-23T00:00:00"/>
    <x v="1"/>
    <x v="5"/>
    <s v="P102"/>
    <x v="0"/>
    <s v="Consumer"/>
    <n v="5"/>
    <n v="0.1"/>
    <s v="Cash on Delivery"/>
    <s v="No"/>
    <n v="5"/>
    <s v="Mechanical Keyboard"/>
    <x v="3"/>
    <n v="2499"/>
    <s v="OK"/>
    <n v="1450"/>
    <n v="12495"/>
    <n v="1249.5"/>
    <n v="11245.5"/>
    <n v="7250"/>
    <n v="3995.5"/>
    <n v="0.35529767462540573"/>
    <n v="8"/>
    <x v="4"/>
    <s v="Medium"/>
  </r>
  <r>
    <s v="ORD-5013"/>
    <d v="2025-04-28T00:00:00"/>
    <d v="2025-05-02T00:00:00"/>
    <x v="2"/>
    <x v="0"/>
    <s v="P102"/>
    <x v="1"/>
    <s v="Corporate"/>
    <n v="5"/>
    <n v="0.15"/>
    <s v="Cash on Delivery"/>
    <s v="No"/>
    <n v="5"/>
    <s v="Mechanical Keyboard"/>
    <x v="3"/>
    <n v="2499"/>
    <s v="OK"/>
    <n v="1450"/>
    <n v="12495"/>
    <n v="1874.25"/>
    <n v="10620.75"/>
    <n v="7250"/>
    <n v="3370.75"/>
    <n v="0.31737400842690017"/>
    <n v="4"/>
    <x v="6"/>
    <s v="Medium"/>
  </r>
  <r>
    <s v="ORD-5014"/>
    <d v="2025-08-04T00:00:00"/>
    <d v="2025-08-10T00:00:00"/>
    <x v="3"/>
    <x v="1"/>
    <s v="P109"/>
    <x v="0"/>
    <s v="Corporate"/>
    <n v="4"/>
    <n v="0.1"/>
    <s v="UPI"/>
    <s v="No"/>
    <n v="4"/>
    <s v="Ergonomic Chair"/>
    <x v="0"/>
    <n v="10499"/>
    <s v="OK"/>
    <n v="7600"/>
    <n v="41996"/>
    <n v="4199.6000000000004"/>
    <n v="37796.400000000001"/>
    <n v="30400"/>
    <n v="7396.4000000000015"/>
    <n v="0.19569059487146928"/>
    <n v="6"/>
    <x v="7"/>
    <s v="High"/>
  </r>
  <r>
    <s v="ORD-5015"/>
    <d v="2025-03-23T00:00:00"/>
    <d v="2025-03-25T00:00:00"/>
    <x v="4"/>
    <x v="2"/>
    <s v="P105"/>
    <x v="2"/>
    <s v="Small Business"/>
    <n v="3"/>
    <n v="0.15"/>
    <s v="Cash on Delivery"/>
    <s v="No"/>
    <n v="5"/>
    <s v="24-inch Monitor"/>
    <x v="4"/>
    <n v="12999"/>
    <s v="OK"/>
    <n v="9100"/>
    <n v="38997"/>
    <n v="5849.55"/>
    <n v="33147.449999999997"/>
    <n v="27300"/>
    <n v="5847.4499999999971"/>
    <n v="0.17640723494567448"/>
    <n v="2"/>
    <x v="8"/>
    <s v="High"/>
  </r>
  <r>
    <s v="ORD-5016"/>
    <d v="2025-05-06T00:00:00"/>
    <d v="2025-05-12T00:00:00"/>
    <x v="0"/>
    <x v="3"/>
    <s v="P103"/>
    <x v="3"/>
    <s v="Corporate"/>
    <n v="5"/>
    <n v="0"/>
    <s v="UPI"/>
    <s v="No"/>
    <n v="4"/>
    <s v="HD Webcam"/>
    <x v="3"/>
    <n v="2899"/>
    <s v="OK"/>
    <n v="1700"/>
    <n v="14495"/>
    <n v="0"/>
    <n v="14495"/>
    <n v="8500"/>
    <n v="5995"/>
    <n v="0.41359089341152122"/>
    <n v="6"/>
    <x v="0"/>
    <s v="Medium"/>
  </r>
  <r>
    <s v="ORD-5017"/>
    <d v="2025-11-19T00:00:00"/>
    <d v="2025-11-25T00:00:00"/>
    <x v="1"/>
    <x v="4"/>
    <s v="P108"/>
    <x v="1"/>
    <s v="Corporate"/>
    <n v="5"/>
    <n v="0.05"/>
    <s v="Net Banking"/>
    <s v="No"/>
    <n v="4"/>
    <s v="SSD 1TB"/>
    <x v="2"/>
    <n v="6999"/>
    <s v="OK"/>
    <n v="4900"/>
    <n v="34995"/>
    <n v="1749.75"/>
    <n v="33245.25"/>
    <n v="24500"/>
    <n v="8745.25"/>
    <n v="0.26305261653920486"/>
    <n v="6"/>
    <x v="1"/>
    <s v="High"/>
  </r>
  <r>
    <s v="ORD-5018"/>
    <d v="2025-09-05T00:00:00"/>
    <d v="2025-09-09T00:00:00"/>
    <x v="2"/>
    <x v="5"/>
    <s v="P111"/>
    <x v="2"/>
    <s v="Consumer"/>
    <n v="1"/>
    <n v="0.15"/>
    <s v="Credit Card"/>
    <s v="No"/>
    <n v="5"/>
    <s v="Bluetooth Speaker"/>
    <x v="1"/>
    <n v="2799"/>
    <s v="OK"/>
    <n v="1650"/>
    <n v="2799"/>
    <n v="419.84999999999997"/>
    <n v="2379.15"/>
    <n v="1650"/>
    <n v="729.15000000000009"/>
    <n v="0.30647500157619323"/>
    <n v="4"/>
    <x v="9"/>
    <s v="Low"/>
  </r>
  <r>
    <s v="ORD-5019"/>
    <d v="2025-10-29T00:00:00"/>
    <d v="2025-11-03T00:00:00"/>
    <x v="3"/>
    <x v="0"/>
    <s v="P105"/>
    <x v="1"/>
    <s v="Small Business"/>
    <n v="2"/>
    <n v="0"/>
    <s v="UPI"/>
    <s v="No"/>
    <n v="3"/>
    <s v="24-inch Monitor"/>
    <x v="4"/>
    <n v="12999"/>
    <s v="OK"/>
    <n v="9100"/>
    <n v="25998"/>
    <n v="0"/>
    <n v="25998"/>
    <n v="18200"/>
    <n v="7798"/>
    <n v="0.29994614970382338"/>
    <n v="5"/>
    <x v="10"/>
    <s v="High"/>
  </r>
  <r>
    <s v="ORD-5020"/>
    <d v="2025-12-22T00:00:00"/>
    <d v="2025-12-23T00:00:00"/>
    <x v="5"/>
    <x v="1"/>
    <s v="P104"/>
    <x v="3"/>
    <s v="Corporate"/>
    <n v="2"/>
    <n v="0.15"/>
    <s v="Credit Card"/>
    <s v="Yes"/>
    <n v="1"/>
    <s v="USB-C Hub"/>
    <x v="3"/>
    <n v="1599"/>
    <s v="OK"/>
    <n v="870"/>
    <n v="3198"/>
    <n v="479.7"/>
    <n v="2718.3"/>
    <n v="1740"/>
    <n v="978.30000000000018"/>
    <n v="0.35989405142920211"/>
    <n v="1"/>
    <x v="4"/>
    <s v="Low"/>
  </r>
  <r>
    <s v="ORD-5021"/>
    <d v="2025-02-26T00:00:00"/>
    <d v="2025-03-04T00:00:00"/>
    <x v="0"/>
    <x v="2"/>
    <s v="P110"/>
    <x v="2"/>
    <s v="Consumer"/>
    <n v="1"/>
    <n v="0.1"/>
    <s v="Credit Card"/>
    <s v="No"/>
    <n v="4"/>
    <s v="LED Desk Lamp"/>
    <x v="0"/>
    <n v="1999"/>
    <s v="OK"/>
    <n v="1050"/>
    <n v="1999"/>
    <n v="199.9"/>
    <n v="1799.1"/>
    <n v="1050"/>
    <n v="749.09999999999991"/>
    <n v="0.4163748540937135"/>
    <n v="6"/>
    <x v="5"/>
    <s v="Low"/>
  </r>
  <r>
    <s v="ORD-5022"/>
    <d v="2025-05-06T00:00:00"/>
    <d v="2025-05-07T00:00:00"/>
    <x v="1"/>
    <x v="3"/>
    <s v="P112"/>
    <x v="0"/>
    <s v="Corporate"/>
    <n v="5"/>
    <n v="0.1"/>
    <s v="Credit Card"/>
    <s v="No"/>
    <n v="3"/>
    <s v="Portable HDD 2TB"/>
    <x v="2"/>
    <n v="5899"/>
    <s v="OK"/>
    <n v="4100"/>
    <n v="29495"/>
    <n v="2949.5"/>
    <n v="26545.5"/>
    <n v="20500"/>
    <n v="6045.5"/>
    <n v="0.22774104838861578"/>
    <n v="1"/>
    <x v="0"/>
    <s v="High"/>
  </r>
  <r>
    <s v="ORD-5023"/>
    <d v="2025-07-13T00:00:00"/>
    <d v="2025-07-17T00:00:00"/>
    <x v="2"/>
    <x v="4"/>
    <s v="P102"/>
    <x v="0"/>
    <s v="Small Business"/>
    <n v="2"/>
    <n v="0"/>
    <s v="Debit Card"/>
    <s v="No"/>
    <n v="5"/>
    <s v="Mechanical Keyboard"/>
    <x v="3"/>
    <n v="2499"/>
    <s v="OK"/>
    <n v="1450"/>
    <n v="4998"/>
    <n v="0"/>
    <n v="4998"/>
    <n v="2900"/>
    <n v="2098"/>
    <n v="0.41976790716286516"/>
    <n v="4"/>
    <x v="2"/>
    <s v="Low"/>
  </r>
  <r>
    <s v="ORD-5024"/>
    <d v="2025-06-20T00:00:00"/>
    <d v="2025-06-23T00:00:00"/>
    <x v="3"/>
    <x v="5"/>
    <s v="P104"/>
    <x v="0"/>
    <s v="Corporate"/>
    <n v="1"/>
    <n v="0"/>
    <s v="Net Banking"/>
    <s v="No"/>
    <n v="5"/>
    <s v="USB-C Hub"/>
    <x v="3"/>
    <n v="1599"/>
    <s v="OK"/>
    <n v="870"/>
    <n v="1599"/>
    <n v="0"/>
    <n v="1599"/>
    <n v="870"/>
    <n v="729"/>
    <n v="0.45590994371482174"/>
    <n v="3"/>
    <x v="3"/>
    <s v="Low"/>
  </r>
  <r>
    <s v="ORD-5025"/>
    <d v="2025-02-14T00:00:00"/>
    <d v="2025-02-22T00:00:00"/>
    <x v="4"/>
    <x v="0"/>
    <s v="P110"/>
    <x v="1"/>
    <s v="Corporate"/>
    <n v="1"/>
    <n v="0.15"/>
    <s v="Cash on Delivery"/>
    <s v="No"/>
    <n v="4"/>
    <s v="LED Desk Lamp"/>
    <x v="0"/>
    <n v="1999"/>
    <s v="OK"/>
    <n v="1050"/>
    <n v="1999"/>
    <n v="299.84999999999997"/>
    <n v="1699.15"/>
    <n v="1050"/>
    <n v="649.15000000000009"/>
    <n v="0.38204396315804967"/>
    <n v="8"/>
    <x v="5"/>
    <s v="Low"/>
  </r>
  <r>
    <s v="ORD-5026"/>
    <d v="2025-05-25T00:00:00"/>
    <d v="2025-05-31T00:00:00"/>
    <x v="0"/>
    <x v="1"/>
    <s v="P107"/>
    <x v="0"/>
    <s v="Small Business"/>
    <n v="4"/>
    <n v="0.2"/>
    <s v="Debit Card"/>
    <s v="No"/>
    <n v="5"/>
    <s v="Laptop Stand"/>
    <x v="3"/>
    <n v="1899"/>
    <s v="OK"/>
    <n v="980"/>
    <n v="7596"/>
    <n v="1519.2"/>
    <n v="6076.8"/>
    <n v="3920"/>
    <n v="2156.8000000000002"/>
    <n v="0.35492364402317012"/>
    <n v="6"/>
    <x v="0"/>
    <s v="Low"/>
  </r>
  <r>
    <s v="ORD-5027"/>
    <d v="2025-12-19T00:00:00"/>
    <d v="2025-12-21T00:00:00"/>
    <x v="1"/>
    <x v="2"/>
    <s v="P102"/>
    <x v="0"/>
    <s v="Small Business"/>
    <n v="4"/>
    <n v="0.15"/>
    <s v="UPI"/>
    <s v="No"/>
    <n v="3"/>
    <s v="Mechanical Keyboard"/>
    <x v="3"/>
    <n v="2499"/>
    <s v="OK"/>
    <n v="1450"/>
    <n v="9996"/>
    <n v="1499.3999999999999"/>
    <n v="8496.6"/>
    <n v="5800"/>
    <n v="2696.6000000000004"/>
    <n v="0.31737400842690022"/>
    <n v="2"/>
    <x v="4"/>
    <s v="Low"/>
  </r>
  <r>
    <s v="ORD-5028"/>
    <d v="2025-10-17T00:00:00"/>
    <d v="2025-10-22T00:00:00"/>
    <x v="2"/>
    <x v="3"/>
    <s v="P112"/>
    <x v="1"/>
    <s v="Consumer"/>
    <n v="1"/>
    <n v="0"/>
    <s v="UPI"/>
    <s v="No"/>
    <n v="5"/>
    <s v="Portable HDD 2TB"/>
    <x v="2"/>
    <n v="5899"/>
    <s v="OK"/>
    <n v="4100"/>
    <n v="5899"/>
    <n v="0"/>
    <n v="5899"/>
    <n v="4100"/>
    <n v="1799"/>
    <n v="0.30496694354975418"/>
    <n v="5"/>
    <x v="10"/>
    <s v="Low"/>
  </r>
  <r>
    <s v="ORD-5029"/>
    <d v="2025-07-07T00:00:00"/>
    <d v="2025-07-11T00:00:00"/>
    <x v="3"/>
    <x v="4"/>
    <s v="P106"/>
    <x v="3"/>
    <s v="Corporate"/>
    <n v="2"/>
    <n v="0.2"/>
    <s v="Debit Card"/>
    <s v="No"/>
    <n v="4"/>
    <s v="Wireless Headset"/>
    <x v="1"/>
    <n v="3499"/>
    <s v="OK"/>
    <n v="2100"/>
    <n v="6998"/>
    <n v="1399.6000000000001"/>
    <n v="5598.4"/>
    <n v="4200"/>
    <n v="1398.3999999999996"/>
    <n v="0.24978565304372674"/>
    <n v="4"/>
    <x v="2"/>
    <s v="Low"/>
  </r>
  <r>
    <s v="ORD-5030"/>
    <d v="2025-04-07T00:00:00"/>
    <d v="2025-04-14T00:00:00"/>
    <x v="4"/>
    <x v="5"/>
    <s v="P112"/>
    <x v="0"/>
    <s v="Consumer"/>
    <n v="5"/>
    <n v="0"/>
    <s v="Cash on Delivery"/>
    <s v="No"/>
    <n v="5"/>
    <s v="Portable HDD 2TB"/>
    <x v="2"/>
    <n v="5899"/>
    <s v="OK"/>
    <n v="4100"/>
    <n v="29495"/>
    <n v="0"/>
    <n v="29495"/>
    <n v="20500"/>
    <n v="8995"/>
    <n v="0.30496694354975418"/>
    <n v="7"/>
    <x v="6"/>
    <s v="High"/>
  </r>
  <r>
    <s v="ORD-5031"/>
    <d v="2025-11-13T00:00:00"/>
    <d v="2025-11-21T00:00:00"/>
    <x v="0"/>
    <x v="0"/>
    <s v="P102"/>
    <x v="2"/>
    <s v="Consumer"/>
    <n v="4"/>
    <n v="0.2"/>
    <s v="Cash on Delivery"/>
    <s v="No"/>
    <n v="4"/>
    <s v="Mechanical Keyboard"/>
    <x v="3"/>
    <n v="2499"/>
    <s v="OK"/>
    <n v="1450"/>
    <n v="9996"/>
    <n v="1999.2"/>
    <n v="7996.8"/>
    <n v="5800"/>
    <n v="2196.8000000000002"/>
    <n v="0.27470988395358142"/>
    <n v="8"/>
    <x v="1"/>
    <s v="Low"/>
  </r>
  <r>
    <s v="ORD-5032"/>
    <d v="2025-08-30T00:00:00"/>
    <d v="2025-09-05T00:00:00"/>
    <x v="1"/>
    <x v="1"/>
    <s v="P112"/>
    <x v="2"/>
    <s v="Small Business"/>
    <n v="5"/>
    <n v="0"/>
    <s v="Cash on Delivery"/>
    <s v="No"/>
    <n v="5"/>
    <s v="Portable HDD 2TB"/>
    <x v="2"/>
    <n v="5899"/>
    <s v="OK"/>
    <n v="4100"/>
    <n v="29495"/>
    <n v="0"/>
    <n v="29495"/>
    <n v="20500"/>
    <n v="8995"/>
    <n v="0.30496694354975418"/>
    <n v="6"/>
    <x v="7"/>
    <s v="High"/>
  </r>
  <r>
    <s v="ORD-5033"/>
    <d v="2025-04-03T00:00:00"/>
    <d v="2025-04-08T00:00:00"/>
    <x v="2"/>
    <x v="2"/>
    <s v="P103"/>
    <x v="2"/>
    <s v="Small Business"/>
    <n v="4"/>
    <n v="0.15"/>
    <s v="Cash on Delivery"/>
    <s v="No"/>
    <n v="4"/>
    <s v="HD Webcam"/>
    <x v="3"/>
    <n v="2899"/>
    <s v="OK"/>
    <n v="1700"/>
    <n v="11596"/>
    <n v="1739.3999999999999"/>
    <n v="9856.6"/>
    <n v="6800"/>
    <n v="3056.6000000000004"/>
    <n v="0.31010693342531909"/>
    <n v="5"/>
    <x v="6"/>
    <s v="Low"/>
  </r>
  <r>
    <s v="ORD-5034"/>
    <d v="2025-09-09T00:00:00"/>
    <d v="2025-09-12T00:00:00"/>
    <x v="3"/>
    <x v="3"/>
    <s v="P104"/>
    <x v="0"/>
    <s v="Corporate"/>
    <n v="5"/>
    <n v="0.05"/>
    <s v="UPI"/>
    <s v="No"/>
    <n v="3"/>
    <s v="USB-C Hub"/>
    <x v="3"/>
    <n v="1599"/>
    <s v="OK"/>
    <n v="870"/>
    <n v="7995"/>
    <n v="399.75"/>
    <n v="7595.25"/>
    <n v="4350"/>
    <n v="3245.25"/>
    <n v="0.42727362496297028"/>
    <n v="3"/>
    <x v="9"/>
    <s v="Low"/>
  </r>
  <r>
    <s v="ORD-5035"/>
    <d v="2025-09-02T00:00:00"/>
    <d v="2025-09-06T00:00:00"/>
    <x v="4"/>
    <x v="4"/>
    <s v="P109"/>
    <x v="1"/>
    <s v="Corporate"/>
    <n v="5"/>
    <n v="0.1"/>
    <s v="Debit Card"/>
    <s v="No"/>
    <n v="4"/>
    <s v="Ergonomic Chair"/>
    <x v="0"/>
    <n v="10499"/>
    <s v="OK"/>
    <n v="7600"/>
    <n v="52495"/>
    <n v="5249.5"/>
    <n v="47245.5"/>
    <n v="38000"/>
    <n v="9245.5"/>
    <n v="0.19569059487146925"/>
    <n v="4"/>
    <x v="9"/>
    <s v="High"/>
  </r>
  <r>
    <s v="ORD-5036"/>
    <d v="2025-05-07T00:00:00"/>
    <d v="2025-05-10T00:00:00"/>
    <x v="0"/>
    <x v="5"/>
    <s v="P111"/>
    <x v="2"/>
    <s v="Corporate"/>
    <n v="1"/>
    <n v="0.1"/>
    <s v="Debit Card"/>
    <s v="No"/>
    <n v="3"/>
    <s v="Bluetooth Speaker"/>
    <x v="1"/>
    <n v="2799"/>
    <s v="OK"/>
    <n v="1650"/>
    <n v="2799"/>
    <n v="279.90000000000003"/>
    <n v="2519.1"/>
    <n v="1650"/>
    <n v="869.09999999999991"/>
    <n v="0.34500416815529356"/>
    <n v="3"/>
    <x v="0"/>
    <s v="Low"/>
  </r>
  <r>
    <s v="ORD-5037"/>
    <d v="2025-07-20T00:00:00"/>
    <d v="2025-07-26T00:00:00"/>
    <x v="1"/>
    <x v="0"/>
    <s v="P105"/>
    <x v="2"/>
    <s v="Corporate"/>
    <n v="1"/>
    <n v="0"/>
    <s v="Credit Card"/>
    <s v="No"/>
    <n v="5"/>
    <s v="24-inch Monitor"/>
    <x v="4"/>
    <n v="12999"/>
    <s v="OK"/>
    <n v="9100"/>
    <n v="12999"/>
    <n v="0"/>
    <n v="12999"/>
    <n v="9100"/>
    <n v="3899"/>
    <n v="0.29994614970382338"/>
    <n v="6"/>
    <x v="2"/>
    <s v="Medium"/>
  </r>
  <r>
    <s v="ORD-5038"/>
    <d v="2025-09-08T00:00:00"/>
    <d v="2025-09-15T00:00:00"/>
    <x v="2"/>
    <x v="1"/>
    <s v="P112"/>
    <x v="2"/>
    <s v="Small Business"/>
    <n v="5"/>
    <n v="0"/>
    <s v="UPI"/>
    <s v="Yes"/>
    <n v="2"/>
    <s v="Portable HDD 2TB"/>
    <x v="2"/>
    <n v="5899"/>
    <s v="OK"/>
    <n v="4100"/>
    <n v="29495"/>
    <n v="0"/>
    <n v="29495"/>
    <n v="20500"/>
    <n v="8995"/>
    <n v="0.30496694354975418"/>
    <n v="7"/>
    <x v="9"/>
    <s v="High"/>
  </r>
  <r>
    <s v="ORD-5039"/>
    <d v="2025-09-21T00:00:00"/>
    <d v="2025-09-24T00:00:00"/>
    <x v="3"/>
    <x v="2"/>
    <s v="P101"/>
    <x v="3"/>
    <s v="Corporate"/>
    <n v="1"/>
    <n v="0.2"/>
    <s v="Cash on Delivery"/>
    <s v="No"/>
    <n v="3"/>
    <s v="Wireless Mouse"/>
    <x v="3"/>
    <n v="799"/>
    <s v="OK"/>
    <n v="420"/>
    <n v="799"/>
    <n v="159.80000000000001"/>
    <n v="639.20000000000005"/>
    <n v="420"/>
    <n v="219.20000000000005"/>
    <n v="0.34292866082603257"/>
    <n v="3"/>
    <x v="9"/>
    <s v="Low"/>
  </r>
  <r>
    <s v="ORD-5040"/>
    <d v="2025-09-25T00:00:00"/>
    <d v="2025-10-02T00:00:00"/>
    <x v="4"/>
    <x v="3"/>
    <s v="P103"/>
    <x v="2"/>
    <s v="Small Business"/>
    <n v="1"/>
    <n v="0"/>
    <s v="UPI"/>
    <s v="No"/>
    <n v="4"/>
    <s v="HD Webcam"/>
    <x v="3"/>
    <n v="2899"/>
    <s v="OK"/>
    <n v="1700"/>
    <n v="2899"/>
    <n v="0"/>
    <n v="2899"/>
    <n v="1700"/>
    <n v="1199"/>
    <n v="0.41359089341152122"/>
    <n v="7"/>
    <x v="9"/>
    <s v="Low"/>
  </r>
  <r>
    <s v="ORD-5041"/>
    <d v="2025-11-20T00:00:00"/>
    <d v="2025-11-26T00:00:00"/>
    <x v="0"/>
    <x v="4"/>
    <s v="P108"/>
    <x v="1"/>
    <s v="Consumer"/>
    <n v="5"/>
    <n v="0.2"/>
    <s v="Net Banking"/>
    <s v="No"/>
    <n v="3"/>
    <s v="SSD 1TB"/>
    <x v="2"/>
    <n v="6999"/>
    <s v="OK"/>
    <n v="4900"/>
    <n v="34995"/>
    <n v="6999"/>
    <n v="27996"/>
    <n v="24500"/>
    <n v="3496"/>
    <n v="0.12487498214030576"/>
    <n v="6"/>
    <x v="1"/>
    <s v="High"/>
  </r>
  <r>
    <s v="ORD-5042"/>
    <d v="2025-03-30T00:00:00"/>
    <d v="2025-04-02T00:00:00"/>
    <x v="1"/>
    <x v="5"/>
    <s v="P106"/>
    <x v="3"/>
    <s v="Small Business"/>
    <n v="4"/>
    <n v="0.05"/>
    <s v="Cash on Delivery"/>
    <s v="No"/>
    <n v="4"/>
    <s v="Wireless Headset"/>
    <x v="1"/>
    <n v="3499"/>
    <s v="OK"/>
    <n v="2100"/>
    <n v="13996"/>
    <n v="699.80000000000007"/>
    <n v="13296.2"/>
    <n v="8400"/>
    <n v="4896.2000000000007"/>
    <n v="0.36824054993155941"/>
    <n v="3"/>
    <x v="8"/>
    <s v="Medium"/>
  </r>
  <r>
    <s v="ORD-5043"/>
    <d v="2025-07-06T00:00:00"/>
    <d v="2025-07-12T00:00:00"/>
    <x v="2"/>
    <x v="0"/>
    <s v="P112"/>
    <x v="1"/>
    <s v="Consumer"/>
    <n v="5"/>
    <n v="0.15"/>
    <s v="Credit Card"/>
    <s v="No"/>
    <n v="5"/>
    <s v="Portable HDD 2TB"/>
    <x v="2"/>
    <n v="5899"/>
    <s v="OK"/>
    <n v="4100"/>
    <n v="29495"/>
    <n v="4424.25"/>
    <n v="25070.75"/>
    <n v="20500"/>
    <n v="4570.75"/>
    <n v="0.18231405123500494"/>
    <n v="6"/>
    <x v="2"/>
    <s v="High"/>
  </r>
  <r>
    <s v="ORD-5044"/>
    <d v="2025-08-17T00:00:00"/>
    <d v="2025-08-24T00:00:00"/>
    <x v="3"/>
    <x v="1"/>
    <s v="P108"/>
    <x v="0"/>
    <s v="Small Business"/>
    <n v="2"/>
    <n v="0.1"/>
    <s v="Cash on Delivery"/>
    <s v="No"/>
    <n v="3"/>
    <s v="SSD 1TB"/>
    <x v="2"/>
    <n v="6999"/>
    <s v="OK"/>
    <n v="4900"/>
    <n v="13998"/>
    <n v="1399.8000000000002"/>
    <n v="12598.2"/>
    <n v="9800"/>
    <n v="2798.2000000000007"/>
    <n v="0.22211109523582739"/>
    <n v="7"/>
    <x v="7"/>
    <s v="Medium"/>
  </r>
  <r>
    <s v="ORD-5045"/>
    <d v="2025-06-02T00:00:00"/>
    <d v="2025-06-06T00:00:00"/>
    <x v="4"/>
    <x v="2"/>
    <s v="P105"/>
    <x v="1"/>
    <s v="Consumer"/>
    <n v="5"/>
    <n v="0.2"/>
    <s v="Credit Card"/>
    <s v="No"/>
    <n v="4"/>
    <s v="24-inch Monitor"/>
    <x v="4"/>
    <n v="12999"/>
    <s v="OK"/>
    <n v="9100"/>
    <n v="64995"/>
    <n v="12999"/>
    <n v="51996"/>
    <n v="45500"/>
    <n v="6496"/>
    <n v="0.12493268712977922"/>
    <n v="4"/>
    <x v="3"/>
    <s v="High"/>
  </r>
  <r>
    <s v="ORD-5046"/>
    <d v="2025-05-19T00:00:00"/>
    <d v="2025-05-20T00:00:00"/>
    <x v="0"/>
    <x v="3"/>
    <s v="P111"/>
    <x v="1"/>
    <s v="Consumer"/>
    <n v="4"/>
    <n v="0"/>
    <s v="Debit Card"/>
    <s v="No"/>
    <n v="5"/>
    <s v="Bluetooth Speaker"/>
    <x v="1"/>
    <n v="2799"/>
    <s v="OK"/>
    <n v="1650"/>
    <n v="11196"/>
    <n v="0"/>
    <n v="11196"/>
    <n v="6600"/>
    <n v="4596"/>
    <n v="0.41050375133976419"/>
    <n v="1"/>
    <x v="0"/>
    <s v="Medium"/>
  </r>
  <r>
    <s v="ORD-5047"/>
    <d v="2025-06-08T00:00:00"/>
    <d v="2025-06-16T00:00:00"/>
    <x v="1"/>
    <x v="4"/>
    <s v="P105"/>
    <x v="1"/>
    <s v="Consumer"/>
    <n v="2"/>
    <n v="0.05"/>
    <s v="Credit Card"/>
    <s v="No"/>
    <n v="4"/>
    <s v="24-inch Monitor"/>
    <x v="4"/>
    <n v="12999"/>
    <s v="OK"/>
    <n v="9100"/>
    <n v="25998"/>
    <n v="1299.9000000000001"/>
    <n v="24698.1"/>
    <n v="18200"/>
    <n v="6498.0999999999985"/>
    <n v="0.26310121021455085"/>
    <n v="8"/>
    <x v="3"/>
    <s v="High"/>
  </r>
  <r>
    <s v="ORD-5048"/>
    <d v="2025-08-12T00:00:00"/>
    <d v="2025-08-13T00:00:00"/>
    <x v="2"/>
    <x v="5"/>
    <s v="P110"/>
    <x v="0"/>
    <s v="Corporate"/>
    <n v="1"/>
    <n v="0.15"/>
    <s v="Credit Card"/>
    <s v="No"/>
    <n v="5"/>
    <s v="LED Desk Lamp"/>
    <x v="0"/>
    <n v="1999"/>
    <s v="OK"/>
    <n v="1050"/>
    <n v="1999"/>
    <n v="299.84999999999997"/>
    <n v="1699.15"/>
    <n v="1050"/>
    <n v="649.15000000000009"/>
    <n v="0.38204396315804967"/>
    <n v="1"/>
    <x v="7"/>
    <s v="Low"/>
  </r>
  <r>
    <s v="ORD-5049"/>
    <d v="2025-06-09T00:00:00"/>
    <d v="2025-06-17T00:00:00"/>
    <x v="3"/>
    <x v="0"/>
    <s v="P103"/>
    <x v="3"/>
    <s v="Corporate"/>
    <n v="2"/>
    <n v="0"/>
    <s v="Net Banking"/>
    <s v="No"/>
    <n v="5"/>
    <s v="HD Webcam"/>
    <x v="3"/>
    <n v="2899"/>
    <s v="OK"/>
    <n v="1700"/>
    <n v="5798"/>
    <n v="0"/>
    <n v="5798"/>
    <n v="3400"/>
    <n v="2398"/>
    <n v="0.41359089341152122"/>
    <n v="8"/>
    <x v="3"/>
    <s v="Low"/>
  </r>
  <r>
    <s v="ORD-5050"/>
    <d v="2025-07-14T00:00:00"/>
    <d v="2025-07-22T00:00:00"/>
    <x v="4"/>
    <x v="1"/>
    <s v="P103"/>
    <x v="2"/>
    <s v="Corporate"/>
    <n v="2"/>
    <n v="0"/>
    <s v="UPI"/>
    <s v="No"/>
    <n v="3"/>
    <s v="HD Webcam"/>
    <x v="3"/>
    <n v="2899"/>
    <s v="OK"/>
    <n v="1700"/>
    <n v="5798"/>
    <n v="0"/>
    <n v="5798"/>
    <n v="3400"/>
    <n v="2398"/>
    <n v="0.41359089341152122"/>
    <n v="8"/>
    <x v="2"/>
    <s v="Low"/>
  </r>
  <r>
    <s v="ORD-5051"/>
    <d v="2025-01-18T00:00:00"/>
    <d v="2025-01-21T00:00:00"/>
    <x v="0"/>
    <x v="2"/>
    <s v="P111"/>
    <x v="2"/>
    <s v="Small Business"/>
    <n v="2"/>
    <n v="0.05"/>
    <s v="Credit Card"/>
    <s v="No"/>
    <n v="5"/>
    <s v="Bluetooth Speaker"/>
    <x v="1"/>
    <n v="2799"/>
    <s v="OK"/>
    <n v="1650"/>
    <n v="5598"/>
    <n v="279.90000000000003"/>
    <n v="5318.1"/>
    <n v="3300"/>
    <n v="2018.1000000000004"/>
    <n v="0.37947763298922554"/>
    <n v="3"/>
    <x v="11"/>
    <s v="Low"/>
  </r>
  <r>
    <s v="ORD-5052"/>
    <d v="2025-01-22T00:00:00"/>
    <d v="2025-01-28T00:00:00"/>
    <x v="1"/>
    <x v="3"/>
    <s v="P102"/>
    <x v="0"/>
    <s v="Corporate"/>
    <n v="4"/>
    <n v="0"/>
    <s v="Net Banking"/>
    <s v="No"/>
    <n v="5"/>
    <s v="Mechanical Keyboard"/>
    <x v="3"/>
    <n v="2499"/>
    <s v="OK"/>
    <n v="1450"/>
    <n v="9996"/>
    <n v="0"/>
    <n v="9996"/>
    <n v="5800"/>
    <n v="4196"/>
    <n v="0.41976790716286516"/>
    <n v="6"/>
    <x v="11"/>
    <s v="Low"/>
  </r>
  <r>
    <s v="ORD-5053"/>
    <d v="2025-12-21T00:00:00"/>
    <d v="2025-12-23T00:00:00"/>
    <x v="2"/>
    <x v="4"/>
    <s v="P109"/>
    <x v="1"/>
    <s v="Consumer"/>
    <n v="1"/>
    <n v="0.05"/>
    <s v="UPI"/>
    <s v="No"/>
    <n v="5"/>
    <s v="Ergonomic Chair"/>
    <x v="0"/>
    <n v="10499"/>
    <s v="OK"/>
    <n v="7600"/>
    <n v="10499"/>
    <n v="524.95000000000005"/>
    <n v="9974.0499999999993"/>
    <n v="7600"/>
    <n v="2374.0499999999993"/>
    <n v="0.23802266882560238"/>
    <n v="2"/>
    <x v="4"/>
    <s v="Low"/>
  </r>
  <r>
    <s v="ORD-5054"/>
    <d v="2025-05-26T00:00:00"/>
    <d v="2025-06-03T00:00:00"/>
    <x v="3"/>
    <x v="5"/>
    <s v="P103"/>
    <x v="2"/>
    <s v="Small Business"/>
    <n v="1"/>
    <n v="0.05"/>
    <s v="Net Banking"/>
    <s v="No"/>
    <n v="5"/>
    <s v="HD Webcam"/>
    <x v="3"/>
    <n v="2899"/>
    <s v="OK"/>
    <n v="1700"/>
    <n v="2899"/>
    <n v="144.95000000000002"/>
    <n v="2754.05"/>
    <n v="1700"/>
    <n v="1054.0500000000002"/>
    <n v="0.38272725622265397"/>
    <n v="8"/>
    <x v="0"/>
    <s v="Low"/>
  </r>
  <r>
    <s v="ORD-5055"/>
    <d v="2025-11-20T00:00:00"/>
    <d v="2025-11-25T00:00:00"/>
    <x v="4"/>
    <x v="0"/>
    <s v="P104"/>
    <x v="3"/>
    <s v="Corporate"/>
    <n v="2"/>
    <n v="0.2"/>
    <s v="Net Banking"/>
    <s v="No"/>
    <n v="5"/>
    <s v="USB-C Hub"/>
    <x v="3"/>
    <n v="1599"/>
    <s v="OK"/>
    <n v="870"/>
    <n v="3198"/>
    <n v="639.6"/>
    <n v="2558.4"/>
    <n v="1740"/>
    <n v="818.40000000000009"/>
    <n v="0.31988742964352723"/>
    <n v="5"/>
    <x v="1"/>
    <s v="Low"/>
  </r>
  <r>
    <s v="ORD-5056"/>
    <d v="2025-12-29T00:00:00"/>
    <d v="2026-01-04T00:00:00"/>
    <x v="0"/>
    <x v="1"/>
    <s v="P111"/>
    <x v="1"/>
    <s v="Corporate"/>
    <n v="1"/>
    <n v="0"/>
    <s v="Debit Card"/>
    <s v="No"/>
    <n v="5"/>
    <s v="Bluetooth Speaker"/>
    <x v="1"/>
    <n v="2799"/>
    <s v="OK"/>
    <n v="1650"/>
    <n v="2799"/>
    <n v="0"/>
    <n v="2799"/>
    <n v="1650"/>
    <n v="1149"/>
    <n v="0.41050375133976419"/>
    <n v="6"/>
    <x v="4"/>
    <s v="Low"/>
  </r>
  <r>
    <s v="ORD-5057"/>
    <d v="2025-09-19T00:00:00"/>
    <d v="2025-09-24T00:00:00"/>
    <x v="1"/>
    <x v="2"/>
    <s v="P102"/>
    <x v="3"/>
    <s v="Small Business"/>
    <n v="5"/>
    <n v="0.1"/>
    <s v="Cash on Delivery"/>
    <s v="No"/>
    <n v="3"/>
    <s v="Mechanical Keyboard"/>
    <x v="3"/>
    <n v="2499"/>
    <s v="OK"/>
    <n v="1450"/>
    <n v="12495"/>
    <n v="1249.5"/>
    <n v="11245.5"/>
    <n v="7250"/>
    <n v="3995.5"/>
    <n v="0.35529767462540573"/>
    <n v="5"/>
    <x v="9"/>
    <s v="Medium"/>
  </r>
  <r>
    <s v="ORD-5058"/>
    <d v="2025-09-10T00:00:00"/>
    <d v="2025-09-12T00:00:00"/>
    <x v="2"/>
    <x v="3"/>
    <s v="P999"/>
    <x v="3"/>
    <s v="Corporate"/>
    <n v="2"/>
    <n v="0.1"/>
    <s v="Cash on Delivery"/>
    <s v="No"/>
    <n v="4"/>
    <s v="NOT FOUND"/>
    <x v="5"/>
    <s v="NOT FOUND"/>
    <s v="Missing Product"/>
    <s v="NOT FOUND"/>
    <s v="NOT FOUND"/>
    <s v="NOT FOUND"/>
    <s v="NOT FOUND"/>
    <s v="NOT FOUND"/>
    <s v="NOT FOUND"/>
    <s v=""/>
    <n v="2"/>
    <x v="9"/>
    <s v=""/>
  </r>
  <r>
    <s v="ORD-5059"/>
    <d v="2025-03-02T00:00:00"/>
    <d v="2025-03-08T00:00:00"/>
    <x v="3"/>
    <x v="4"/>
    <s v="P109"/>
    <x v="3"/>
    <s v="Small Business"/>
    <n v="5"/>
    <n v="0.1"/>
    <s v="Credit Card"/>
    <s v="No"/>
    <n v="4"/>
    <s v="Ergonomic Chair"/>
    <x v="0"/>
    <n v="10499"/>
    <s v="OK"/>
    <n v="7600"/>
    <n v="52495"/>
    <n v="5249.5"/>
    <n v="47245.5"/>
    <n v="38000"/>
    <n v="9245.5"/>
    <n v="0.19569059487146925"/>
    <n v="6"/>
    <x v="8"/>
    <s v="High"/>
  </r>
  <r>
    <s v="ORD-5060"/>
    <d v="2025-12-14T00:00:00"/>
    <d v="2025-12-18T00:00:00"/>
    <x v="4"/>
    <x v="5"/>
    <s v="P109"/>
    <x v="0"/>
    <s v="Small Business"/>
    <n v="1"/>
    <n v="0.2"/>
    <s v="UPI"/>
    <s v="No"/>
    <n v="3"/>
    <s v="Ergonomic Chair"/>
    <x v="0"/>
    <n v="10499"/>
    <s v="OK"/>
    <n v="7600"/>
    <n v="10499"/>
    <n v="2099.8000000000002"/>
    <n v="8399.2000000000007"/>
    <n v="7600"/>
    <n v="799.20000000000073"/>
    <n v="9.5151919230402976E-2"/>
    <n v="4"/>
    <x v="4"/>
    <s v="Low"/>
  </r>
  <r>
    <s v="ORD-5061"/>
    <d v="2025-10-01T00:00:00"/>
    <d v="2025-10-02T00:00:00"/>
    <x v="0"/>
    <x v="0"/>
    <s v="P111"/>
    <x v="3"/>
    <s v="Small Business"/>
    <n v="3"/>
    <n v="0.15"/>
    <s v="Credit Card"/>
    <s v="No"/>
    <n v="5"/>
    <s v="Bluetooth Speaker"/>
    <x v="1"/>
    <n v="2799"/>
    <s v="OK"/>
    <n v="1650"/>
    <n v="8397"/>
    <n v="1259.55"/>
    <n v="7137.45"/>
    <n v="4950"/>
    <n v="2187.4499999999998"/>
    <n v="0.30647500157619317"/>
    <n v="1"/>
    <x v="10"/>
    <s v="Low"/>
  </r>
  <r>
    <s v="ORD-5062"/>
    <d v="2025-06-19T00:00:00"/>
    <d v="2025-06-26T00:00:00"/>
    <x v="1"/>
    <x v="1"/>
    <s v="P105"/>
    <x v="1"/>
    <s v="Corporate"/>
    <n v="2"/>
    <n v="0"/>
    <s v="Cash on Delivery"/>
    <s v="No"/>
    <n v="3"/>
    <s v="24-inch Monitor"/>
    <x v="4"/>
    <n v="12999"/>
    <s v="OK"/>
    <n v="9100"/>
    <n v="25998"/>
    <n v="0"/>
    <n v="25998"/>
    <n v="18200"/>
    <n v="7798"/>
    <n v="0.29994614970382338"/>
    <n v="7"/>
    <x v="3"/>
    <s v="High"/>
  </r>
  <r>
    <s v="ORD-5063"/>
    <d v="2025-01-16T00:00:00"/>
    <d v="2025-01-22T00:00:00"/>
    <x v="2"/>
    <x v="2"/>
    <s v="P111"/>
    <x v="0"/>
    <s v="Corporate"/>
    <n v="1"/>
    <n v="0.05"/>
    <s v="UPI"/>
    <s v="No"/>
    <n v="5"/>
    <s v="Bluetooth Speaker"/>
    <x v="1"/>
    <n v="2799"/>
    <s v="OK"/>
    <n v="1650"/>
    <n v="2799"/>
    <n v="139.95000000000002"/>
    <n v="2659.05"/>
    <n v="1650"/>
    <n v="1009.0500000000002"/>
    <n v="0.37947763298922554"/>
    <n v="6"/>
    <x v="11"/>
    <s v="Low"/>
  </r>
  <r>
    <s v="ORD-5064"/>
    <d v="2025-01-29T00:00:00"/>
    <d v="2025-02-01T00:00:00"/>
    <x v="3"/>
    <x v="3"/>
    <s v="P112"/>
    <x v="0"/>
    <s v="Corporate"/>
    <n v="3"/>
    <n v="0.15"/>
    <s v="Credit Card"/>
    <s v="No"/>
    <n v="4"/>
    <s v="Portable HDD 2TB"/>
    <x v="2"/>
    <n v="5899"/>
    <s v="OK"/>
    <n v="4100"/>
    <n v="17697"/>
    <n v="2654.5499999999997"/>
    <n v="15042.45"/>
    <n v="12300"/>
    <n v="2742.4500000000007"/>
    <n v="0.18231405123500496"/>
    <n v="3"/>
    <x v="11"/>
    <s v="Medium"/>
  </r>
  <r>
    <s v="ORD-5065"/>
    <d v="2025-11-05T00:00:00"/>
    <d v="2025-11-10T00:00:00"/>
    <x v="4"/>
    <x v="4"/>
    <s v="P101"/>
    <x v="2"/>
    <s v="Corporate"/>
    <n v="1"/>
    <n v="0"/>
    <s v="UPI"/>
    <s v="No"/>
    <n v="5"/>
    <s v="Wireless Mouse"/>
    <x v="3"/>
    <n v="799"/>
    <s v="OK"/>
    <n v="420"/>
    <n v="799"/>
    <n v="0"/>
    <n v="799"/>
    <n v="420"/>
    <n v="379"/>
    <n v="0.47434292866082606"/>
    <n v="5"/>
    <x v="1"/>
    <s v="Low"/>
  </r>
  <r>
    <s v="ORD-5066"/>
    <d v="2025-12-05T00:00:00"/>
    <d v="2025-12-08T00:00:00"/>
    <x v="0"/>
    <x v="5"/>
    <s v="P110"/>
    <x v="3"/>
    <s v="Corporate"/>
    <n v="3"/>
    <n v="0.05"/>
    <s v="Cash on Delivery"/>
    <s v="No"/>
    <n v="3"/>
    <s v="LED Desk Lamp"/>
    <x v="0"/>
    <n v="1999"/>
    <s v="OK"/>
    <n v="1050"/>
    <n v="5997"/>
    <n v="299.85000000000002"/>
    <n v="5697.15"/>
    <n v="3150"/>
    <n v="2547.1499999999996"/>
    <n v="0.44709196703614962"/>
    <n v="3"/>
    <x v="4"/>
    <s v="Low"/>
  </r>
  <r>
    <s v="ORD-5067"/>
    <d v="2025-04-02T00:00:00"/>
    <d v="2025-04-09T00:00:00"/>
    <x v="1"/>
    <x v="0"/>
    <s v="P104"/>
    <x v="1"/>
    <s v="Corporate"/>
    <n v="1"/>
    <n v="0.05"/>
    <s v="UPI"/>
    <s v="No"/>
    <n v="5"/>
    <s v="USB-C Hub"/>
    <x v="3"/>
    <n v="1599"/>
    <s v="OK"/>
    <n v="870"/>
    <n v="1599"/>
    <n v="79.95"/>
    <n v="1519.05"/>
    <n v="870"/>
    <n v="649.04999999999995"/>
    <n v="0.42727362496297028"/>
    <n v="7"/>
    <x v="6"/>
    <s v="Low"/>
  </r>
  <r>
    <s v="ORD-5068"/>
    <d v="2025-01-01T00:00:00"/>
    <d v="2025-01-09T00:00:00"/>
    <x v="2"/>
    <x v="1"/>
    <s v="P107"/>
    <x v="2"/>
    <s v="Consumer"/>
    <n v="1"/>
    <n v="0"/>
    <s v="UPI"/>
    <s v="No"/>
    <n v="5"/>
    <s v="Laptop Stand"/>
    <x v="3"/>
    <n v="1899"/>
    <s v="OK"/>
    <n v="980"/>
    <n v="1899"/>
    <n v="0"/>
    <n v="1899"/>
    <n v="980"/>
    <n v="919"/>
    <n v="0.48393891521853605"/>
    <n v="8"/>
    <x v="11"/>
    <s v="Low"/>
  </r>
  <r>
    <s v="ORD-5069"/>
    <d v="2025-04-15T00:00:00"/>
    <d v="2025-04-17T00:00:00"/>
    <x v="3"/>
    <x v="2"/>
    <s v="P111"/>
    <x v="1"/>
    <s v="Small Business"/>
    <n v="1"/>
    <n v="0.15"/>
    <s v="UPI"/>
    <s v="No"/>
    <n v="5"/>
    <s v="Bluetooth Speaker"/>
    <x v="1"/>
    <n v="2799"/>
    <s v="OK"/>
    <n v="1650"/>
    <n v="2799"/>
    <n v="419.84999999999997"/>
    <n v="2379.15"/>
    <n v="1650"/>
    <n v="729.15000000000009"/>
    <n v="0.30647500157619323"/>
    <n v="2"/>
    <x v="6"/>
    <s v="Low"/>
  </r>
  <r>
    <s v="ORD-5070"/>
    <d v="2025-12-05T00:00:00"/>
    <d v="2025-12-06T00:00:00"/>
    <x v="4"/>
    <x v="3"/>
    <s v="P103"/>
    <x v="3"/>
    <s v="Consumer"/>
    <n v="4"/>
    <n v="0.1"/>
    <s v="Cash on Delivery"/>
    <s v="No"/>
    <n v="5"/>
    <s v="HD Webcam"/>
    <x v="3"/>
    <n v="2899"/>
    <s v="OK"/>
    <n v="1700"/>
    <n v="11596"/>
    <n v="1159.6000000000001"/>
    <n v="10436.4"/>
    <n v="6800"/>
    <n v="3636.3999999999996"/>
    <n v="0.34843432601280133"/>
    <n v="1"/>
    <x v="4"/>
    <s v="Medium"/>
  </r>
  <r>
    <s v="ORD-5071"/>
    <d v="2025-03-30T00:00:00"/>
    <d v="2025-04-06T00:00:00"/>
    <x v="0"/>
    <x v="4"/>
    <s v="P112"/>
    <x v="1"/>
    <s v="Corporate"/>
    <n v="5"/>
    <n v="0"/>
    <s v="Net Banking"/>
    <s v="No"/>
    <n v="4"/>
    <s v="Portable HDD 2TB"/>
    <x v="2"/>
    <n v="5899"/>
    <s v="OK"/>
    <n v="4100"/>
    <n v="29495"/>
    <n v="0"/>
    <n v="29495"/>
    <n v="20500"/>
    <n v="8995"/>
    <n v="0.30496694354975418"/>
    <n v="7"/>
    <x v="8"/>
    <s v="High"/>
  </r>
  <r>
    <s v="ORD-5072"/>
    <d v="2025-05-08T00:00:00"/>
    <d v="2025-05-15T00:00:00"/>
    <x v="1"/>
    <x v="5"/>
    <s v="P101"/>
    <x v="0"/>
    <s v="Consumer"/>
    <n v="1"/>
    <n v="0.1"/>
    <s v="UPI"/>
    <s v="No"/>
    <n v="3"/>
    <s v="Wireless Mouse"/>
    <x v="3"/>
    <n v="799"/>
    <s v="OK"/>
    <n v="420"/>
    <n v="799"/>
    <n v="79.900000000000006"/>
    <n v="719.1"/>
    <n v="420"/>
    <n v="299.10000000000002"/>
    <n v="0.41593658740091782"/>
    <n v="7"/>
    <x v="0"/>
    <s v="Low"/>
  </r>
  <r>
    <s v="ORD-5073"/>
    <d v="2025-06-21T00:00:00"/>
    <d v="2025-06-25T00:00:00"/>
    <x v="2"/>
    <x v="0"/>
    <s v="P104"/>
    <x v="2"/>
    <s v="Corporate"/>
    <n v="1"/>
    <n v="0"/>
    <s v="Cash on Delivery"/>
    <s v="No"/>
    <n v="3"/>
    <s v="USB-C Hub"/>
    <x v="3"/>
    <n v="1599"/>
    <s v="OK"/>
    <n v="870"/>
    <n v="1599"/>
    <n v="0"/>
    <n v="1599"/>
    <n v="870"/>
    <n v="729"/>
    <n v="0.45590994371482174"/>
    <n v="4"/>
    <x v="3"/>
    <s v="Low"/>
  </r>
  <r>
    <s v="ORD-5074"/>
    <d v="2025-07-10T00:00:00"/>
    <d v="2025-07-12T00:00:00"/>
    <x v="3"/>
    <x v="1"/>
    <s v="P101"/>
    <x v="1"/>
    <s v="Consumer"/>
    <n v="5"/>
    <n v="0.1"/>
    <s v="UPI"/>
    <s v="No"/>
    <n v="4"/>
    <s v="Wireless Mouse"/>
    <x v="3"/>
    <n v="799"/>
    <s v="OK"/>
    <n v="420"/>
    <n v="3995"/>
    <n v="399.5"/>
    <n v="3595.5"/>
    <n v="2100"/>
    <n v="1495.5"/>
    <n v="0.41593658740091782"/>
    <n v="2"/>
    <x v="2"/>
    <s v="Low"/>
  </r>
  <r>
    <s v="ORD-5075"/>
    <d v="2025-03-05T00:00:00"/>
    <d v="2025-03-12T00:00:00"/>
    <x v="5"/>
    <x v="2"/>
    <s v="P109"/>
    <x v="3"/>
    <s v="Consumer"/>
    <n v="4"/>
    <n v="0.1"/>
    <s v="Cash on Delivery"/>
    <s v="Yes"/>
    <n v="1"/>
    <s v="Ergonomic Chair"/>
    <x v="0"/>
    <n v="10499"/>
    <s v="OK"/>
    <n v="7600"/>
    <n v="41996"/>
    <n v="4199.6000000000004"/>
    <n v="37796.400000000001"/>
    <n v="30400"/>
    <n v="7396.4000000000015"/>
    <n v="0.19569059487146928"/>
    <n v="7"/>
    <x v="8"/>
    <s v="High"/>
  </r>
  <r>
    <s v="ORD-5076"/>
    <d v="2025-11-08T00:00:00"/>
    <d v="2025-11-13T00:00:00"/>
    <x v="0"/>
    <x v="3"/>
    <s v="P105"/>
    <x v="3"/>
    <s v="Small Business"/>
    <n v="4"/>
    <n v="0"/>
    <s v="UPI"/>
    <s v="No"/>
    <n v="5"/>
    <s v="24-inch Monitor"/>
    <x v="4"/>
    <n v="12999"/>
    <s v="OK"/>
    <n v="9100"/>
    <n v="51996"/>
    <n v="0"/>
    <n v="51996"/>
    <n v="36400"/>
    <n v="15596"/>
    <n v="0.29994614970382338"/>
    <n v="5"/>
    <x v="1"/>
    <s v="High"/>
  </r>
  <r>
    <s v="ORD-5077"/>
    <d v="2025-09-30T00:00:00"/>
    <d v="2025-10-02T00:00:00"/>
    <x v="1"/>
    <x v="4"/>
    <s v="P112"/>
    <x v="2"/>
    <s v="Corporate"/>
    <n v="1"/>
    <n v="0.1"/>
    <s v="Net Banking"/>
    <s v="No"/>
    <n v="5"/>
    <s v="Portable HDD 2TB"/>
    <x v="2"/>
    <n v="5899"/>
    <s v="OK"/>
    <n v="4100"/>
    <n v="5899"/>
    <n v="589.9"/>
    <n v="5309.1"/>
    <n v="4100"/>
    <n v="1209.1000000000004"/>
    <n v="0.22774104838861584"/>
    <n v="2"/>
    <x v="9"/>
    <s v="Low"/>
  </r>
  <r>
    <s v="ORD-5078"/>
    <d v="2025-04-19T00:00:00"/>
    <d v="2025-04-26T00:00:00"/>
    <x v="2"/>
    <x v="5"/>
    <s v="P104"/>
    <x v="3"/>
    <s v="Consumer"/>
    <n v="3"/>
    <n v="0.1"/>
    <s v="Net Banking"/>
    <s v="No"/>
    <n v="3"/>
    <s v="USB-C Hub"/>
    <x v="3"/>
    <n v="1599"/>
    <s v="OK"/>
    <n v="870"/>
    <n v="4797"/>
    <n v="479.70000000000005"/>
    <n v="4317.3"/>
    <n v="2610"/>
    <n v="1707.3000000000002"/>
    <n v="0.39545549301646865"/>
    <n v="7"/>
    <x v="6"/>
    <s v="Low"/>
  </r>
  <r>
    <s v="ORD-5079"/>
    <d v="2025-05-14T00:00:00"/>
    <d v="2025-05-18T00:00:00"/>
    <x v="3"/>
    <x v="0"/>
    <s v="P111"/>
    <x v="0"/>
    <s v="Corporate"/>
    <n v="1"/>
    <n v="0.1"/>
    <s v="Net Banking"/>
    <s v="Yes"/>
    <n v="1"/>
    <s v="Bluetooth Speaker"/>
    <x v="1"/>
    <n v="2799"/>
    <s v="OK"/>
    <n v="1650"/>
    <n v="2799"/>
    <n v="279.90000000000003"/>
    <n v="2519.1"/>
    <n v="1650"/>
    <n v="869.09999999999991"/>
    <n v="0.34500416815529356"/>
    <n v="4"/>
    <x v="0"/>
    <s v="Low"/>
  </r>
  <r>
    <s v="ORD-5080"/>
    <d v="2025-06-06T00:00:00"/>
    <d v="2025-06-08T00:00:00"/>
    <x v="4"/>
    <x v="1"/>
    <s v="P106"/>
    <x v="0"/>
    <s v="Corporate"/>
    <n v="5"/>
    <n v="0.05"/>
    <s v="Credit Card"/>
    <s v="No"/>
    <n v="3"/>
    <s v="Wireless Headset"/>
    <x v="1"/>
    <n v="3499"/>
    <s v="OK"/>
    <n v="2100"/>
    <n v="17495"/>
    <n v="874.75"/>
    <n v="16620.25"/>
    <n v="10500"/>
    <n v="6120.25"/>
    <n v="0.36824054993155941"/>
    <n v="2"/>
    <x v="3"/>
    <s v="Medium"/>
  </r>
  <r>
    <s v="ORD-5081"/>
    <d v="2025-04-13T00:00:00"/>
    <d v="2025-04-15T00:00:00"/>
    <x v="0"/>
    <x v="2"/>
    <s v="P103"/>
    <x v="3"/>
    <s v="Small Business"/>
    <n v="5"/>
    <n v="0"/>
    <s v="Cash on Delivery"/>
    <s v="No"/>
    <n v="3"/>
    <s v="HD Webcam"/>
    <x v="3"/>
    <n v="2899"/>
    <s v="OK"/>
    <n v="1700"/>
    <n v="14495"/>
    <n v="0"/>
    <n v="14495"/>
    <n v="8500"/>
    <n v="5995"/>
    <n v="0.41359089341152122"/>
    <n v="2"/>
    <x v="6"/>
    <s v="Medium"/>
  </r>
  <r>
    <s v="ORD-5082"/>
    <d v="2025-05-21T00:00:00"/>
    <d v="2025-05-24T00:00:00"/>
    <x v="1"/>
    <x v="3"/>
    <s v="P109"/>
    <x v="2"/>
    <s v="Consumer"/>
    <n v="3"/>
    <n v="0"/>
    <s v="UPI"/>
    <s v="No"/>
    <n v="4"/>
    <s v="Ergonomic Chair"/>
    <x v="0"/>
    <n v="10499"/>
    <s v="OK"/>
    <n v="7600"/>
    <n v="31497"/>
    <n v="0"/>
    <n v="31497"/>
    <n v="22800"/>
    <n v="8697"/>
    <n v="0.27612153538432233"/>
    <n v="3"/>
    <x v="0"/>
    <s v="High"/>
  </r>
  <r>
    <s v="ORD-5083"/>
    <d v="2025-02-01T00:00:00"/>
    <d v="2025-02-08T00:00:00"/>
    <x v="2"/>
    <x v="4"/>
    <s v="P101"/>
    <x v="0"/>
    <s v="Small Business"/>
    <n v="5"/>
    <n v="0.15"/>
    <s v="Net Banking"/>
    <s v="No"/>
    <n v="4"/>
    <s v="Wireless Mouse"/>
    <x v="3"/>
    <n v="799"/>
    <s v="OK"/>
    <n v="420"/>
    <n v="3995"/>
    <n v="599.25"/>
    <n v="3395.75"/>
    <n v="2100"/>
    <n v="1295.75"/>
    <n v="0.38157991607156005"/>
    <n v="7"/>
    <x v="5"/>
    <s v="Low"/>
  </r>
  <r>
    <s v="ORD-5084"/>
    <d v="2025-09-25T00:00:00"/>
    <d v="2025-10-02T00:00:00"/>
    <x v="3"/>
    <x v="5"/>
    <s v="P103"/>
    <x v="1"/>
    <s v="Consumer"/>
    <n v="4"/>
    <n v="0"/>
    <s v="Cash on Delivery"/>
    <s v="No"/>
    <n v="4"/>
    <s v="HD Webcam"/>
    <x v="3"/>
    <n v="2899"/>
    <s v="OK"/>
    <n v="1700"/>
    <n v="11596"/>
    <n v="0"/>
    <n v="11596"/>
    <n v="6800"/>
    <n v="4796"/>
    <n v="0.41359089341152122"/>
    <n v="7"/>
    <x v="9"/>
    <s v="Medium"/>
  </r>
  <r>
    <s v="ORD-5085"/>
    <d v="2025-11-06T00:00:00"/>
    <d v="2025-11-14T00:00:00"/>
    <x v="4"/>
    <x v="0"/>
    <s v="P105"/>
    <x v="3"/>
    <s v="Consumer"/>
    <n v="2"/>
    <n v="0"/>
    <s v="UPI"/>
    <s v="No"/>
    <n v="4"/>
    <s v="24-inch Monitor"/>
    <x v="4"/>
    <n v="12999"/>
    <s v="OK"/>
    <n v="9100"/>
    <n v="25998"/>
    <n v="0"/>
    <n v="25998"/>
    <n v="18200"/>
    <n v="7798"/>
    <n v="0.29994614970382338"/>
    <n v="8"/>
    <x v="1"/>
    <s v="High"/>
  </r>
  <r>
    <s v="ORD-5086"/>
    <d v="2025-04-25T00:00:00"/>
    <d v="2025-04-30T00:00:00"/>
    <x v="0"/>
    <x v="1"/>
    <s v="P107"/>
    <x v="2"/>
    <s v="Consumer"/>
    <n v="2"/>
    <n v="0.1"/>
    <s v="Debit Card"/>
    <s v="No"/>
    <n v="5"/>
    <s v="Laptop Stand"/>
    <x v="3"/>
    <n v="1899"/>
    <s v="OK"/>
    <n v="980"/>
    <n v="3798"/>
    <n v="379.8"/>
    <n v="3418.2"/>
    <n v="1960"/>
    <n v="1458.1999999999998"/>
    <n v="0.42659879468726225"/>
    <n v="5"/>
    <x v="6"/>
    <s v="Low"/>
  </r>
  <r>
    <s v="ORD-5087"/>
    <d v="2025-10-09T00:00:00"/>
    <d v="2025-10-11T00:00:00"/>
    <x v="1"/>
    <x v="2"/>
    <s v="P109"/>
    <x v="2"/>
    <s v="Corporate"/>
    <n v="2"/>
    <n v="0.15"/>
    <s v="UPI"/>
    <s v="No"/>
    <n v="4"/>
    <s v="Ergonomic Chair"/>
    <x v="0"/>
    <n v="10499"/>
    <s v="OK"/>
    <n v="7600"/>
    <n v="20998"/>
    <n v="3149.7"/>
    <n v="17848.3"/>
    <n v="15200"/>
    <n v="2648.2999999999993"/>
    <n v="0.14837827692273209"/>
    <n v="2"/>
    <x v="10"/>
    <s v="Medium"/>
  </r>
  <r>
    <s v="ORD-5088"/>
    <d v="2025-12-28T00:00:00"/>
    <d v="2026-01-03T00:00:00"/>
    <x v="2"/>
    <x v="3"/>
    <s v="P107"/>
    <x v="2"/>
    <s v="Corporate"/>
    <n v="3"/>
    <n v="0"/>
    <s v="Cash on Delivery"/>
    <s v="No"/>
    <n v="3"/>
    <s v="Laptop Stand"/>
    <x v="3"/>
    <n v="1899"/>
    <s v="OK"/>
    <n v="980"/>
    <n v="5697"/>
    <n v="0"/>
    <n v="5697"/>
    <n v="2940"/>
    <n v="2757"/>
    <n v="0.48393891521853605"/>
    <n v="6"/>
    <x v="4"/>
    <s v="Low"/>
  </r>
  <r>
    <s v="ORD-5089"/>
    <d v="2025-11-13T00:00:00"/>
    <d v="2025-11-15T00:00:00"/>
    <x v="3"/>
    <x v="4"/>
    <s v="P101"/>
    <x v="3"/>
    <s v="Consumer"/>
    <n v="1"/>
    <n v="0.1"/>
    <s v="Debit Card"/>
    <s v="No"/>
    <n v="3"/>
    <s v="Wireless Mouse"/>
    <x v="3"/>
    <n v="799"/>
    <s v="OK"/>
    <n v="420"/>
    <n v="799"/>
    <n v="79.900000000000006"/>
    <n v="719.1"/>
    <n v="420"/>
    <n v="299.10000000000002"/>
    <n v="0.41593658740091782"/>
    <n v="2"/>
    <x v="1"/>
    <s v="Low"/>
  </r>
  <r>
    <s v="ORD-5090"/>
    <d v="2025-02-27T00:00:00"/>
    <d v="2025-03-04T00:00:00"/>
    <x v="4"/>
    <x v="5"/>
    <s v="P109"/>
    <x v="1"/>
    <s v="Small Business"/>
    <n v="4"/>
    <n v="0"/>
    <s v="UPI"/>
    <s v="No"/>
    <n v="4"/>
    <s v="Ergonomic Chair"/>
    <x v="0"/>
    <n v="10499"/>
    <s v="OK"/>
    <n v="7600"/>
    <n v="41996"/>
    <n v="0"/>
    <n v="41996"/>
    <n v="30400"/>
    <n v="11596"/>
    <n v="0.27612153538432233"/>
    <n v="5"/>
    <x v="5"/>
    <s v="High"/>
  </r>
  <r>
    <s v="ORD-5091"/>
    <d v="2025-01-12T00:00:00"/>
    <d v="2025-01-19T00:00:00"/>
    <x v="0"/>
    <x v="0"/>
    <s v="P110"/>
    <x v="2"/>
    <s v="Small Business"/>
    <n v="4"/>
    <n v="0.1"/>
    <s v="Credit Card"/>
    <s v="No"/>
    <n v="5"/>
    <s v="LED Desk Lamp"/>
    <x v="0"/>
    <n v="1999"/>
    <s v="OK"/>
    <n v="1050"/>
    <n v="7996"/>
    <n v="799.6"/>
    <n v="7196.4"/>
    <n v="4200"/>
    <n v="2996.3999999999996"/>
    <n v="0.4163748540937135"/>
    <n v="7"/>
    <x v="11"/>
    <s v="Low"/>
  </r>
  <r>
    <s v="ORD-5092"/>
    <d v="2025-02-27T00:00:00"/>
    <d v="2025-03-01T00:00:00"/>
    <x v="1"/>
    <x v="1"/>
    <s v="P103"/>
    <x v="3"/>
    <s v="Small Business"/>
    <n v="4"/>
    <n v="0.05"/>
    <s v="Credit Card"/>
    <s v="No"/>
    <n v="5"/>
    <s v="HD Webcam"/>
    <x v="3"/>
    <n v="2899"/>
    <s v="OK"/>
    <n v="1700"/>
    <n v="11596"/>
    <n v="579.80000000000007"/>
    <n v="11016.2"/>
    <n v="6800"/>
    <n v="4216.2000000000007"/>
    <n v="0.38272725622265397"/>
    <n v="2"/>
    <x v="5"/>
    <s v="Medium"/>
  </r>
  <r>
    <s v="ORD-5093"/>
    <d v="2025-02-12T00:00:00"/>
    <d v="2025-02-15T00:00:00"/>
    <x v="2"/>
    <x v="2"/>
    <s v="P109"/>
    <x v="0"/>
    <s v="Consumer"/>
    <n v="3"/>
    <n v="0.1"/>
    <s v="Net Banking"/>
    <s v="No"/>
    <n v="5"/>
    <s v="Ergonomic Chair"/>
    <x v="0"/>
    <n v="10499"/>
    <s v="OK"/>
    <n v="7600"/>
    <n v="31497"/>
    <n v="3149.7000000000003"/>
    <n v="28347.3"/>
    <n v="22800"/>
    <n v="5547.2999999999993"/>
    <n v="0.19569059487146923"/>
    <n v="3"/>
    <x v="5"/>
    <s v="High"/>
  </r>
  <r>
    <s v="ORD-5094"/>
    <d v="2025-08-09T00:00:00"/>
    <d v="2025-08-17T00:00:00"/>
    <x v="3"/>
    <x v="3"/>
    <s v="P110"/>
    <x v="3"/>
    <s v="Small Business"/>
    <n v="2"/>
    <n v="0"/>
    <s v="UPI"/>
    <s v="No"/>
    <n v="3"/>
    <s v="LED Desk Lamp"/>
    <x v="0"/>
    <n v="1999"/>
    <s v="OK"/>
    <n v="1050"/>
    <n v="3998"/>
    <n v="0"/>
    <n v="3998"/>
    <n v="2100"/>
    <n v="1898"/>
    <n v="0.47473736868434219"/>
    <n v="8"/>
    <x v="7"/>
    <s v="Low"/>
  </r>
  <r>
    <s v="ORD-5095"/>
    <d v="2025-01-25T00:00:00"/>
    <d v="2025-02-01T00:00:00"/>
    <x v="4"/>
    <x v="4"/>
    <s v="P109"/>
    <x v="0"/>
    <s v="Small Business"/>
    <n v="3"/>
    <n v="0"/>
    <s v="UPI"/>
    <s v="No"/>
    <n v="5"/>
    <s v="Ergonomic Chair"/>
    <x v="0"/>
    <n v="10499"/>
    <s v="OK"/>
    <n v="7600"/>
    <n v="31497"/>
    <n v="0"/>
    <n v="31497"/>
    <n v="22800"/>
    <n v="8697"/>
    <n v="0.27612153538432233"/>
    <n v="7"/>
    <x v="11"/>
    <s v="High"/>
  </r>
  <r>
    <s v="ORD-5096"/>
    <d v="2025-09-21T00:00:00"/>
    <d v="2025-09-25T00:00:00"/>
    <x v="0"/>
    <x v="5"/>
    <s v="P103"/>
    <x v="2"/>
    <s v="Small Business"/>
    <n v="1"/>
    <n v="0"/>
    <s v="Debit Card"/>
    <s v="No"/>
    <n v="5"/>
    <s v="HD Webcam"/>
    <x v="3"/>
    <n v="2899"/>
    <s v="OK"/>
    <n v="1700"/>
    <n v="2899"/>
    <n v="0"/>
    <n v="2899"/>
    <n v="1700"/>
    <n v="1199"/>
    <n v="0.41359089341152122"/>
    <n v="4"/>
    <x v="9"/>
    <s v="Low"/>
  </r>
  <r>
    <s v="ORD-5097"/>
    <d v="2025-11-13T00:00:00"/>
    <d v="2025-11-21T00:00:00"/>
    <x v="1"/>
    <x v="0"/>
    <s v="P104"/>
    <x v="1"/>
    <s v="Consumer"/>
    <n v="3"/>
    <n v="0"/>
    <s v="Cash on Delivery"/>
    <s v="No"/>
    <n v="5"/>
    <s v="USB-C Hub"/>
    <x v="3"/>
    <n v="1599"/>
    <s v="OK"/>
    <n v="870"/>
    <n v="4797"/>
    <n v="0"/>
    <n v="4797"/>
    <n v="2610"/>
    <n v="2187"/>
    <n v="0.45590994371482174"/>
    <n v="8"/>
    <x v="1"/>
    <s v="Low"/>
  </r>
  <r>
    <s v="ORD-5098"/>
    <d v="2025-11-27T00:00:00"/>
    <d v="2025-12-02T00:00:00"/>
    <x v="2"/>
    <x v="1"/>
    <s v="P107"/>
    <x v="3"/>
    <s v="Consumer"/>
    <n v="4"/>
    <n v="0"/>
    <s v="Credit Card"/>
    <s v="No"/>
    <n v="3"/>
    <s v="Laptop Stand"/>
    <x v="3"/>
    <n v="1899"/>
    <s v="OK"/>
    <n v="980"/>
    <n v="7596"/>
    <n v="0"/>
    <n v="7596"/>
    <n v="3920"/>
    <n v="3676"/>
    <n v="0.48393891521853605"/>
    <n v="5"/>
    <x v="1"/>
    <s v="Low"/>
  </r>
  <r>
    <s v="ORD-5099"/>
    <d v="2025-05-09T00:00:00"/>
    <d v="2025-05-13T00:00:00"/>
    <x v="3"/>
    <x v="2"/>
    <s v="P108"/>
    <x v="2"/>
    <s v="Corporate"/>
    <n v="1"/>
    <n v="0.15"/>
    <s v="UPI"/>
    <s v="No"/>
    <n v="3"/>
    <s v="SSD 1TB"/>
    <x v="2"/>
    <n v="6999"/>
    <s v="OK"/>
    <n v="4900"/>
    <n v="6999"/>
    <n v="1049.8499999999999"/>
    <n v="5949.15"/>
    <n v="4900"/>
    <n v="1049.1499999999996"/>
    <n v="0.17635292436734654"/>
    <n v="4"/>
    <x v="0"/>
    <s v="Low"/>
  </r>
  <r>
    <s v="ORD-5100"/>
    <d v="2025-08-30T00:00:00"/>
    <d v="2025-09-06T00:00:00"/>
    <x v="4"/>
    <x v="3"/>
    <s v="P109"/>
    <x v="0"/>
    <s v="Consumer"/>
    <n v="5"/>
    <n v="0"/>
    <s v="Cash on Delivery"/>
    <s v="No"/>
    <n v="4"/>
    <s v="Ergonomic Chair"/>
    <x v="0"/>
    <n v="10499"/>
    <s v="OK"/>
    <n v="7600"/>
    <n v="52495"/>
    <n v="0"/>
    <n v="52495"/>
    <n v="38000"/>
    <n v="14495"/>
    <n v="0.27612153538432233"/>
    <n v="7"/>
    <x v="7"/>
    <s v="High"/>
  </r>
  <r>
    <s v="ORD-5101"/>
    <d v="2025-06-12T00:00:00"/>
    <d v="2025-06-18T00:00:00"/>
    <x v="0"/>
    <x v="4"/>
    <s v="P101"/>
    <x v="1"/>
    <s v="Corporate"/>
    <n v="4"/>
    <n v="0.1"/>
    <s v="Credit Card"/>
    <s v="No"/>
    <n v="4"/>
    <s v="Wireless Mouse"/>
    <x v="3"/>
    <n v="799"/>
    <s v="OK"/>
    <n v="420"/>
    <n v="3196"/>
    <n v="319.60000000000002"/>
    <n v="2876.4"/>
    <n v="1680"/>
    <n v="1196.4000000000001"/>
    <n v="0.41593658740091782"/>
    <n v="6"/>
    <x v="3"/>
    <s v="Low"/>
  </r>
  <r>
    <s v="ORD-5102"/>
    <d v="2025-11-17T00:00:00"/>
    <d v="2025-11-20T00:00:00"/>
    <x v="1"/>
    <x v="5"/>
    <s v="P107"/>
    <x v="2"/>
    <s v="Small Business"/>
    <n v="3"/>
    <n v="0.05"/>
    <s v="Cash on Delivery"/>
    <s v="No"/>
    <n v="3"/>
    <s v="Laptop Stand"/>
    <x v="3"/>
    <n v="1899"/>
    <s v="OK"/>
    <n v="980"/>
    <n v="5697"/>
    <n v="284.85000000000002"/>
    <n v="5412.15"/>
    <n v="2940"/>
    <n v="2472.1499999999996"/>
    <n v="0.45677780549319585"/>
    <n v="3"/>
    <x v="1"/>
    <s v="Low"/>
  </r>
  <r>
    <s v="ORD-5103"/>
    <d v="2025-09-04T00:00:00"/>
    <d v="2025-09-12T00:00:00"/>
    <x v="2"/>
    <x v="0"/>
    <s v="P108"/>
    <x v="0"/>
    <s v="Small Business"/>
    <n v="4"/>
    <n v="0.15"/>
    <s v="Credit Card"/>
    <s v="No"/>
    <n v="5"/>
    <s v="SSD 1TB"/>
    <x v="2"/>
    <n v="6999"/>
    <s v="OK"/>
    <n v="4900"/>
    <n v="27996"/>
    <n v="4199.3999999999996"/>
    <n v="23796.6"/>
    <n v="19600"/>
    <n v="4196.5999999999985"/>
    <n v="0.17635292436734654"/>
    <n v="8"/>
    <x v="9"/>
    <s v="High"/>
  </r>
  <r>
    <s v="ORD-5104"/>
    <d v="2025-05-19T00:00:00"/>
    <d v="2025-05-25T00:00:00"/>
    <x v="3"/>
    <x v="1"/>
    <s v="P111"/>
    <x v="3"/>
    <s v="Consumer"/>
    <n v="2"/>
    <n v="0"/>
    <s v="Cash on Delivery"/>
    <s v="No"/>
    <n v="4"/>
    <s v="Bluetooth Speaker"/>
    <x v="1"/>
    <n v="2799"/>
    <s v="OK"/>
    <n v="1650"/>
    <n v="5598"/>
    <n v="0"/>
    <n v="5598"/>
    <n v="3300"/>
    <n v="2298"/>
    <n v="0.41050375133976419"/>
    <n v="6"/>
    <x v="0"/>
    <s v="Low"/>
  </r>
  <r>
    <s v="ORD-5105"/>
    <d v="2025-06-06T00:00:00"/>
    <d v="2025-06-10T00:00:00"/>
    <x v="4"/>
    <x v="2"/>
    <s v="P103"/>
    <x v="3"/>
    <s v="Consumer"/>
    <n v="5"/>
    <n v="0.05"/>
    <s v="Net Banking"/>
    <s v="No"/>
    <n v="3"/>
    <s v="HD Webcam"/>
    <x v="3"/>
    <n v="2899"/>
    <s v="OK"/>
    <n v="1700"/>
    <n v="14495"/>
    <n v="724.75"/>
    <n v="13770.25"/>
    <n v="8500"/>
    <n v="5270.25"/>
    <n v="0.38272725622265391"/>
    <n v="4"/>
    <x v="3"/>
    <s v="Medium"/>
  </r>
  <r>
    <s v="ORD-5106"/>
    <d v="2025-05-07T00:00:00"/>
    <d v="2025-05-11T00:00:00"/>
    <x v="0"/>
    <x v="3"/>
    <s v="P106"/>
    <x v="2"/>
    <s v="Small Business"/>
    <n v="1"/>
    <n v="0"/>
    <s v="Cash on Delivery"/>
    <s v="No"/>
    <n v="5"/>
    <s v="Wireless Headset"/>
    <x v="1"/>
    <n v="3499"/>
    <s v="OK"/>
    <n v="2100"/>
    <n v="3499"/>
    <n v="0"/>
    <n v="3499"/>
    <n v="2100"/>
    <n v="1399"/>
    <n v="0.3998285224349814"/>
    <n v="4"/>
    <x v="0"/>
    <s v="Low"/>
  </r>
  <r>
    <s v="ORD-5107"/>
    <d v="2025-12-07T00:00:00"/>
    <d v="2025-12-14T00:00:00"/>
    <x v="1"/>
    <x v="4"/>
    <s v="P106"/>
    <x v="3"/>
    <s v="Small Business"/>
    <n v="5"/>
    <n v="0.15"/>
    <s v="UPI"/>
    <s v="No"/>
    <n v="3"/>
    <s v="Wireless Headset"/>
    <x v="1"/>
    <n v="3499"/>
    <s v="OK"/>
    <n v="2100"/>
    <n v="17495"/>
    <n v="2624.25"/>
    <n v="14870.75"/>
    <n v="10500"/>
    <n v="4370.75"/>
    <n v="0.29391590874703699"/>
    <n v="7"/>
    <x v="4"/>
    <s v="Medium"/>
  </r>
  <r>
    <s v="ORD-5108"/>
    <d v="2025-08-25T00:00:00"/>
    <d v="2025-08-29T00:00:00"/>
    <x v="2"/>
    <x v="5"/>
    <s v="P108"/>
    <x v="0"/>
    <s v="Consumer"/>
    <n v="1"/>
    <n v="0"/>
    <s v="Cash on Delivery"/>
    <s v="No"/>
    <n v="4"/>
    <s v="SSD 1TB"/>
    <x v="2"/>
    <n v="6999"/>
    <s v="OK"/>
    <n v="4900"/>
    <n v="6999"/>
    <n v="0"/>
    <n v="6999"/>
    <n v="4900"/>
    <n v="2099"/>
    <n v="0.29989998571224463"/>
    <n v="4"/>
    <x v="7"/>
    <s v="Low"/>
  </r>
  <r>
    <s v="ORD-5109"/>
    <d v="2025-12-20T00:00:00"/>
    <d v="2025-12-25T00:00:00"/>
    <x v="3"/>
    <x v="0"/>
    <s v="P108"/>
    <x v="1"/>
    <s v="Consumer"/>
    <n v="5"/>
    <n v="0.2"/>
    <s v="Credit Card"/>
    <s v="No"/>
    <n v="4"/>
    <s v="SSD 1TB"/>
    <x v="2"/>
    <n v="6999"/>
    <s v="OK"/>
    <n v="4900"/>
    <n v="34995"/>
    <n v="6999"/>
    <n v="27996"/>
    <n v="24500"/>
    <n v="3496"/>
    <n v="0.12487498214030576"/>
    <n v="5"/>
    <x v="4"/>
    <s v="High"/>
  </r>
  <r>
    <s v="ORD-5110"/>
    <d v="2025-09-22T00:00:00"/>
    <d v="2025-09-25T00:00:00"/>
    <x v="4"/>
    <x v="1"/>
    <s v="P112"/>
    <x v="1"/>
    <s v="Consumer"/>
    <n v="5"/>
    <n v="0"/>
    <s v="Debit Card"/>
    <s v="Yes"/>
    <n v="3"/>
    <s v="Portable HDD 2TB"/>
    <x v="2"/>
    <n v="5899"/>
    <s v="OK"/>
    <n v="4100"/>
    <n v="29495"/>
    <n v="0"/>
    <n v="29495"/>
    <n v="20500"/>
    <n v="8995"/>
    <n v="0.30496694354975418"/>
    <n v="3"/>
    <x v="9"/>
    <s v="High"/>
  </r>
  <r>
    <s v="ORD-5111"/>
    <d v="2025-03-28T00:00:00"/>
    <d v="2025-04-01T00:00:00"/>
    <x v="0"/>
    <x v="2"/>
    <s v="P110"/>
    <x v="0"/>
    <s v="Small Business"/>
    <n v="5"/>
    <n v="0.15"/>
    <s v="Net Banking"/>
    <s v="No"/>
    <n v="4"/>
    <s v="LED Desk Lamp"/>
    <x v="0"/>
    <n v="1999"/>
    <s v="OK"/>
    <n v="1050"/>
    <n v="9995"/>
    <n v="1499.25"/>
    <n v="8495.75"/>
    <n v="5250"/>
    <n v="3245.75"/>
    <n v="0.38204396315804962"/>
    <n v="4"/>
    <x v="8"/>
    <s v="Low"/>
  </r>
  <r>
    <s v="ORD-5112"/>
    <d v="2025-11-16T00:00:00"/>
    <d v="2025-11-18T00:00:00"/>
    <x v="1"/>
    <x v="3"/>
    <s v="P101"/>
    <x v="1"/>
    <s v="Small Business"/>
    <n v="2"/>
    <n v="0.1"/>
    <s v="Debit Card"/>
    <s v="Yes"/>
    <n v="3"/>
    <s v="Wireless Mouse"/>
    <x v="3"/>
    <n v="799"/>
    <s v="OK"/>
    <n v="420"/>
    <n v="1598"/>
    <n v="159.80000000000001"/>
    <n v="1438.2"/>
    <n v="840"/>
    <n v="598.20000000000005"/>
    <n v="0.41593658740091782"/>
    <n v="2"/>
    <x v="1"/>
    <s v="Low"/>
  </r>
  <r>
    <s v="ORD-5113"/>
    <d v="2025-12-29T00:00:00"/>
    <d v="2026-01-01T00:00:00"/>
    <x v="2"/>
    <x v="4"/>
    <s v="P108"/>
    <x v="1"/>
    <s v="Corporate"/>
    <n v="1"/>
    <n v="0.05"/>
    <s v="Cash on Delivery"/>
    <s v="No"/>
    <n v="3"/>
    <s v="SSD 1TB"/>
    <x v="2"/>
    <n v="6999"/>
    <s v="OK"/>
    <n v="4900"/>
    <n v="6999"/>
    <n v="349.95000000000005"/>
    <n v="6649.05"/>
    <n v="4900"/>
    <n v="1749.0500000000002"/>
    <n v="0.26305261653920486"/>
    <n v="3"/>
    <x v="4"/>
    <s v="Low"/>
  </r>
  <r>
    <s v="ORD-5114"/>
    <d v="2025-08-30T00:00:00"/>
    <d v="2025-09-04T00:00:00"/>
    <x v="3"/>
    <x v="5"/>
    <s v="P111"/>
    <x v="2"/>
    <s v="Corporate"/>
    <n v="5"/>
    <n v="0.1"/>
    <s v="Cash on Delivery"/>
    <s v="No"/>
    <n v="3"/>
    <s v="Bluetooth Speaker"/>
    <x v="1"/>
    <n v="2799"/>
    <s v="OK"/>
    <n v="1650"/>
    <n v="13995"/>
    <n v="1399.5"/>
    <n v="12595.5"/>
    <n v="8250"/>
    <n v="4345.5"/>
    <n v="0.34500416815529356"/>
    <n v="5"/>
    <x v="7"/>
    <s v="Medium"/>
  </r>
  <r>
    <s v="ORD-5115"/>
    <d v="2025-03-31T00:00:00"/>
    <d v="2025-04-06T00:00:00"/>
    <x v="4"/>
    <x v="0"/>
    <s v="P102"/>
    <x v="3"/>
    <s v="Corporate"/>
    <n v="2"/>
    <n v="0.05"/>
    <s v="UPI"/>
    <s v="No"/>
    <n v="3"/>
    <s v="Mechanical Keyboard"/>
    <x v="3"/>
    <n v="2499"/>
    <s v="OK"/>
    <n v="1450"/>
    <n v="4998"/>
    <n v="249.9"/>
    <n v="4748.1000000000004"/>
    <n v="2900"/>
    <n v="1848.1000000000004"/>
    <n v="0.38922937596091073"/>
    <n v="6"/>
    <x v="8"/>
    <s v="Low"/>
  </r>
  <r>
    <s v="ORD-5116"/>
    <d v="2025-03-28T00:00:00"/>
    <d v="2025-04-02T00:00:00"/>
    <x v="0"/>
    <x v="1"/>
    <s v="P103"/>
    <x v="2"/>
    <s v="Small Business"/>
    <n v="1"/>
    <n v="0.15"/>
    <s v="Debit Card"/>
    <s v="No"/>
    <n v="5"/>
    <s v="HD Webcam"/>
    <x v="3"/>
    <n v="2899"/>
    <s v="OK"/>
    <n v="1700"/>
    <n v="2899"/>
    <n v="434.84999999999997"/>
    <n v="2464.15"/>
    <n v="1700"/>
    <n v="764.15000000000009"/>
    <n v="0.31010693342531909"/>
    <n v="5"/>
    <x v="8"/>
    <s v="Low"/>
  </r>
  <r>
    <s v="ORD-5117"/>
    <d v="2025-03-31T00:00:00"/>
    <d v="2025-04-03T00:00:00"/>
    <x v="1"/>
    <x v="2"/>
    <s v="P109"/>
    <x v="1"/>
    <s v="Corporate"/>
    <n v="1"/>
    <n v="0"/>
    <s v="Cash on Delivery"/>
    <s v="No"/>
    <n v="5"/>
    <s v="Ergonomic Chair"/>
    <x v="0"/>
    <n v="10499"/>
    <s v="OK"/>
    <n v="7600"/>
    <n v="10499"/>
    <n v="0"/>
    <n v="10499"/>
    <n v="7600"/>
    <n v="2899"/>
    <n v="0.27612153538432233"/>
    <n v="3"/>
    <x v="8"/>
    <s v="Medium"/>
  </r>
  <r>
    <s v="ORD-5118"/>
    <d v="2025-11-30T00:00:00"/>
    <d v="2025-12-01T00:00:00"/>
    <x v="2"/>
    <x v="3"/>
    <s v="P102"/>
    <x v="0"/>
    <s v="Consumer"/>
    <n v="1"/>
    <n v="0"/>
    <s v="Cash on Delivery"/>
    <s v="No"/>
    <n v="4"/>
    <s v="Mechanical Keyboard"/>
    <x v="3"/>
    <n v="2499"/>
    <s v="OK"/>
    <n v="1450"/>
    <n v="2499"/>
    <n v="0"/>
    <n v="2499"/>
    <n v="1450"/>
    <n v="1049"/>
    <n v="0.41976790716286516"/>
    <n v="1"/>
    <x v="1"/>
    <s v="Low"/>
  </r>
  <r>
    <s v="ORD-5119"/>
    <d v="2025-10-18T00:00:00"/>
    <d v="2025-10-19T00:00:00"/>
    <x v="3"/>
    <x v="4"/>
    <s v="P104"/>
    <x v="3"/>
    <s v="Consumer"/>
    <n v="2"/>
    <n v="0"/>
    <s v="Net Banking"/>
    <s v="No"/>
    <n v="3"/>
    <s v="USB-C Hub"/>
    <x v="3"/>
    <n v="1599"/>
    <s v="OK"/>
    <n v="870"/>
    <n v="3198"/>
    <n v="0"/>
    <n v="3198"/>
    <n v="1740"/>
    <n v="1458"/>
    <n v="0.45590994371482174"/>
    <n v="1"/>
    <x v="10"/>
    <s v="Low"/>
  </r>
  <r>
    <s v="ORD-5120"/>
    <d v="2025-06-12T00:00:00"/>
    <d v="2025-06-20T00:00:00"/>
    <x v="4"/>
    <x v="5"/>
    <s v="P110"/>
    <x v="2"/>
    <s v="Corporate"/>
    <n v="2"/>
    <n v="0"/>
    <s v="Debit Card"/>
    <s v="No"/>
    <n v="5"/>
    <s v="LED Desk Lamp"/>
    <x v="0"/>
    <n v="1999"/>
    <s v="OK"/>
    <n v="1050"/>
    <n v="3998"/>
    <n v="0"/>
    <n v="3998"/>
    <n v="2100"/>
    <n v="1898"/>
    <n v="0.47473736868434219"/>
    <n v="8"/>
    <x v="3"/>
    <s v="Low"/>
  </r>
  <r>
    <s v="ORD-5121"/>
    <d v="2025-05-25T00:00:00"/>
    <d v="2025-06-01T00:00:00"/>
    <x v="0"/>
    <x v="0"/>
    <s v="P102"/>
    <x v="3"/>
    <s v="Corporate"/>
    <n v="5"/>
    <n v="0.1"/>
    <s v="Net Banking"/>
    <s v="No"/>
    <n v="3"/>
    <s v="Mechanical Keyboard"/>
    <x v="3"/>
    <n v="2499"/>
    <s v="OK"/>
    <n v="1450"/>
    <n v="12495"/>
    <n v="1249.5"/>
    <n v="11245.5"/>
    <n v="7250"/>
    <n v="3995.5"/>
    <n v="0.35529767462540573"/>
    <n v="7"/>
    <x v="0"/>
    <s v="Medium"/>
  </r>
  <r>
    <s v="ORD-5122"/>
    <d v="2025-11-08T00:00:00"/>
    <d v="2025-11-16T00:00:00"/>
    <x v="5"/>
    <x v="1"/>
    <s v="P110"/>
    <x v="1"/>
    <s v="Small Business"/>
    <n v="4"/>
    <n v="0"/>
    <s v="UPI"/>
    <s v="No"/>
    <n v="5"/>
    <s v="LED Desk Lamp"/>
    <x v="0"/>
    <n v="1999"/>
    <s v="OK"/>
    <n v="1050"/>
    <n v="7996"/>
    <n v="0"/>
    <n v="7996"/>
    <n v="4200"/>
    <n v="3796"/>
    <n v="0.47473736868434219"/>
    <n v="8"/>
    <x v="1"/>
    <s v="Low"/>
  </r>
  <r>
    <s v="ORD-5123"/>
    <d v="2025-03-14T00:00:00"/>
    <d v="2025-03-21T00:00:00"/>
    <x v="2"/>
    <x v="2"/>
    <s v="P101"/>
    <x v="3"/>
    <s v="Small Business"/>
    <n v="5"/>
    <n v="0.1"/>
    <s v="Cash on Delivery"/>
    <s v="Yes"/>
    <n v="3"/>
    <s v="Wireless Mouse"/>
    <x v="3"/>
    <n v="799"/>
    <s v="OK"/>
    <n v="420"/>
    <n v="3995"/>
    <n v="399.5"/>
    <n v="3595.5"/>
    <n v="2100"/>
    <n v="1495.5"/>
    <n v="0.41593658740091782"/>
    <n v="7"/>
    <x v="8"/>
    <s v="Low"/>
  </r>
  <r>
    <s v="ORD-5124"/>
    <d v="2025-03-28T00:00:00"/>
    <d v="2025-04-03T00:00:00"/>
    <x v="3"/>
    <x v="3"/>
    <s v="P101"/>
    <x v="1"/>
    <s v="Small Business"/>
    <n v="5"/>
    <n v="0.1"/>
    <s v="UPI"/>
    <s v="No"/>
    <n v="3"/>
    <s v="Wireless Mouse"/>
    <x v="3"/>
    <n v="799"/>
    <s v="OK"/>
    <n v="420"/>
    <n v="3995"/>
    <n v="399.5"/>
    <n v="3595.5"/>
    <n v="2100"/>
    <n v="1495.5"/>
    <n v="0.41593658740091782"/>
    <n v="6"/>
    <x v="8"/>
    <s v="Low"/>
  </r>
  <r>
    <s v="ORD-5125"/>
    <d v="2025-10-02T00:00:00"/>
    <d v="2025-10-04T00:00:00"/>
    <x v="4"/>
    <x v="4"/>
    <s v="P108"/>
    <x v="3"/>
    <s v="Corporate"/>
    <n v="3"/>
    <n v="0"/>
    <s v="Credit Card"/>
    <s v="No"/>
    <n v="5"/>
    <s v="SSD 1TB"/>
    <x v="2"/>
    <n v="6999"/>
    <s v="OK"/>
    <n v="4900"/>
    <n v="20997"/>
    <n v="0"/>
    <n v="20997"/>
    <n v="14700"/>
    <n v="6297"/>
    <n v="0.29989998571224463"/>
    <n v="2"/>
    <x v="10"/>
    <s v="High"/>
  </r>
  <r>
    <s v="ORD-5126"/>
    <d v="2025-04-27T00:00:00"/>
    <d v="2025-05-05T00:00:00"/>
    <x v="0"/>
    <x v="5"/>
    <s v="P112"/>
    <x v="1"/>
    <s v="Small Business"/>
    <n v="2"/>
    <n v="0.2"/>
    <s v="Credit Card"/>
    <s v="No"/>
    <n v="5"/>
    <s v="Portable HDD 2TB"/>
    <x v="2"/>
    <n v="5899"/>
    <s v="OK"/>
    <n v="4100"/>
    <n v="11798"/>
    <n v="2359.6"/>
    <n v="9438.4"/>
    <n v="8200"/>
    <n v="1238.3999999999996"/>
    <n v="0.13120867943719272"/>
    <n v="8"/>
    <x v="6"/>
    <s v="Low"/>
  </r>
  <r>
    <s v="ORD-5127"/>
    <d v="2025-10-29T00:00:00"/>
    <d v="2025-11-04T00:00:00"/>
    <x v="1"/>
    <x v="0"/>
    <s v="P109"/>
    <x v="2"/>
    <s v="Small Business"/>
    <n v="5"/>
    <n v="0.15"/>
    <s v="Cash on Delivery"/>
    <s v="No"/>
    <n v="4"/>
    <s v="Ergonomic Chair"/>
    <x v="0"/>
    <n v="10499"/>
    <s v="OK"/>
    <n v="7600"/>
    <n v="52495"/>
    <n v="7874.25"/>
    <n v="44620.75"/>
    <n v="38000"/>
    <n v="6620.75"/>
    <n v="0.14837827692273214"/>
    <n v="6"/>
    <x v="10"/>
    <s v="High"/>
  </r>
  <r>
    <s v="ORD-5128"/>
    <d v="2025-11-13T00:00:00"/>
    <d v="2025-11-20T00:00:00"/>
    <x v="2"/>
    <x v="1"/>
    <s v="P109"/>
    <x v="1"/>
    <s v="Consumer"/>
    <n v="3"/>
    <n v="0"/>
    <s v="UPI"/>
    <s v="Yes"/>
    <n v="2"/>
    <s v="Ergonomic Chair"/>
    <x v="0"/>
    <n v="10499"/>
    <s v="OK"/>
    <n v="7600"/>
    <n v="31497"/>
    <n v="0"/>
    <n v="31497"/>
    <n v="22800"/>
    <n v="8697"/>
    <n v="0.27612153538432233"/>
    <n v="7"/>
    <x v="1"/>
    <s v="High"/>
  </r>
  <r>
    <s v="ORD-5129"/>
    <d v="2025-04-01T00:00:00"/>
    <d v="2025-04-03T00:00:00"/>
    <x v="3"/>
    <x v="2"/>
    <s v="P109"/>
    <x v="3"/>
    <s v="Consumer"/>
    <n v="1"/>
    <n v="0"/>
    <s v="Credit Card"/>
    <s v="No"/>
    <n v="4"/>
    <s v="Ergonomic Chair"/>
    <x v="0"/>
    <n v="10499"/>
    <s v="OK"/>
    <n v="7600"/>
    <n v="10499"/>
    <n v="0"/>
    <n v="10499"/>
    <n v="7600"/>
    <n v="2899"/>
    <n v="0.27612153538432233"/>
    <n v="2"/>
    <x v="6"/>
    <s v="Medium"/>
  </r>
  <r>
    <s v="ORD-5130"/>
    <d v="2025-09-07T00:00:00"/>
    <d v="2025-09-11T00:00:00"/>
    <x v="4"/>
    <x v="3"/>
    <s v="P103"/>
    <x v="2"/>
    <s v="Consumer"/>
    <n v="3"/>
    <n v="0.1"/>
    <s v="UPI"/>
    <s v="No"/>
    <n v="4"/>
    <s v="HD Webcam"/>
    <x v="3"/>
    <n v="2899"/>
    <s v="OK"/>
    <n v="1700"/>
    <n v="8697"/>
    <n v="869.7"/>
    <n v="7827.3"/>
    <n v="5100"/>
    <n v="2727.3"/>
    <n v="0.34843432601280139"/>
    <n v="4"/>
    <x v="9"/>
    <s v="Low"/>
  </r>
  <r>
    <s v="ORD-5131"/>
    <d v="2025-10-26T00:00:00"/>
    <d v="2025-10-28T00:00:00"/>
    <x v="0"/>
    <x v="4"/>
    <s v="P111"/>
    <x v="0"/>
    <s v="Small Business"/>
    <n v="5"/>
    <n v="0.2"/>
    <s v="Cash on Delivery"/>
    <s v="No"/>
    <n v="5"/>
    <s v="Bluetooth Speaker"/>
    <x v="1"/>
    <n v="2799"/>
    <s v="OK"/>
    <n v="1650"/>
    <n v="13995"/>
    <n v="2799"/>
    <n v="11196"/>
    <n v="8250"/>
    <n v="2946"/>
    <n v="0.26312968917470525"/>
    <n v="2"/>
    <x v="10"/>
    <s v="Medium"/>
  </r>
  <r>
    <s v="ORD-5132"/>
    <d v="2025-02-19T00:00:00"/>
    <d v="2025-02-25T00:00:00"/>
    <x v="1"/>
    <x v="5"/>
    <s v="P112"/>
    <x v="0"/>
    <s v="Small Business"/>
    <n v="5"/>
    <n v="0.1"/>
    <s v="Net Banking"/>
    <s v="Yes"/>
    <n v="2"/>
    <s v="Portable HDD 2TB"/>
    <x v="2"/>
    <n v="5899"/>
    <s v="OK"/>
    <n v="4100"/>
    <n v="29495"/>
    <n v="2949.5"/>
    <n v="26545.5"/>
    <n v="20500"/>
    <n v="6045.5"/>
    <n v="0.22774104838861578"/>
    <n v="6"/>
    <x v="5"/>
    <s v="High"/>
  </r>
  <r>
    <s v="ORD-5133"/>
    <d v="2025-09-18T00:00:00"/>
    <d v="2025-09-24T00:00:00"/>
    <x v="2"/>
    <x v="0"/>
    <s v="P109"/>
    <x v="0"/>
    <s v="Small Business"/>
    <n v="1"/>
    <n v="0.1"/>
    <s v="Credit Card"/>
    <s v="No"/>
    <n v="3"/>
    <s v="Ergonomic Chair"/>
    <x v="0"/>
    <n v="10499"/>
    <s v="OK"/>
    <n v="7600"/>
    <n v="10499"/>
    <n v="1049.9000000000001"/>
    <n v="9449.1"/>
    <n v="7600"/>
    <n v="1849.1000000000004"/>
    <n v="0.19569059487146928"/>
    <n v="6"/>
    <x v="9"/>
    <s v="Low"/>
  </r>
  <r>
    <s v="ORD-5134"/>
    <d v="2025-05-14T00:00:00"/>
    <d v="2025-05-22T00:00:00"/>
    <x v="3"/>
    <x v="1"/>
    <s v="P101"/>
    <x v="3"/>
    <s v="Consumer"/>
    <n v="2"/>
    <n v="0.05"/>
    <s v="Credit Card"/>
    <s v="No"/>
    <n v="3"/>
    <s v="Wireless Mouse"/>
    <x v="3"/>
    <n v="799"/>
    <s v="OK"/>
    <n v="420"/>
    <n v="1598"/>
    <n v="79.900000000000006"/>
    <n v="1518.1"/>
    <n v="840"/>
    <n v="678.09999999999991"/>
    <n v="0.4466767670113958"/>
    <n v="8"/>
    <x v="0"/>
    <s v="Low"/>
  </r>
  <r>
    <s v="ORD-5135"/>
    <d v="2025-01-20T00:00:00"/>
    <d v="2025-01-25T00:00:00"/>
    <x v="4"/>
    <x v="2"/>
    <s v="P105"/>
    <x v="1"/>
    <s v="Consumer"/>
    <n v="4"/>
    <n v="0.05"/>
    <s v="Cash on Delivery"/>
    <s v="No"/>
    <n v="4"/>
    <s v="24-inch Monitor"/>
    <x v="4"/>
    <n v="12999"/>
    <s v="OK"/>
    <n v="9100"/>
    <n v="51996"/>
    <n v="2599.8000000000002"/>
    <n v="49396.2"/>
    <n v="36400"/>
    <n v="12996.199999999997"/>
    <n v="0.26310121021455085"/>
    <n v="5"/>
    <x v="11"/>
    <s v="High"/>
  </r>
  <r>
    <s v="ORD-5136"/>
    <d v="2025-10-05T00:00:00"/>
    <d v="2025-10-09T00:00:00"/>
    <x v="0"/>
    <x v="3"/>
    <s v="P104"/>
    <x v="2"/>
    <s v="Small Business"/>
    <n v="1"/>
    <n v="0"/>
    <s v="UPI"/>
    <s v="No"/>
    <n v="4"/>
    <s v="USB-C Hub"/>
    <x v="3"/>
    <n v="1599"/>
    <s v="OK"/>
    <n v="870"/>
    <n v="1599"/>
    <n v="0"/>
    <n v="1599"/>
    <n v="870"/>
    <n v="729"/>
    <n v="0.45590994371482174"/>
    <n v="4"/>
    <x v="10"/>
    <s v="Low"/>
  </r>
  <r>
    <s v="ORD-5137"/>
    <d v="2025-09-07T00:00:00"/>
    <d v="2025-09-08T00:00:00"/>
    <x v="1"/>
    <x v="4"/>
    <s v="P103"/>
    <x v="3"/>
    <s v="Small Business"/>
    <n v="3"/>
    <n v="0"/>
    <s v="UPI"/>
    <s v="No"/>
    <n v="4"/>
    <s v="HD Webcam"/>
    <x v="3"/>
    <n v="2899"/>
    <s v="OK"/>
    <n v="1700"/>
    <n v="8697"/>
    <n v="0"/>
    <n v="8697"/>
    <n v="5100"/>
    <n v="3597"/>
    <n v="0.41359089341152122"/>
    <n v="1"/>
    <x v="9"/>
    <s v="Low"/>
  </r>
  <r>
    <s v="ORD-5138"/>
    <d v="2025-02-25T00:00:00"/>
    <d v="2025-02-28T00:00:00"/>
    <x v="2"/>
    <x v="5"/>
    <s v="P110"/>
    <x v="1"/>
    <s v="Small Business"/>
    <n v="1"/>
    <n v="0.15"/>
    <s v="UPI"/>
    <s v="No"/>
    <n v="4"/>
    <s v="LED Desk Lamp"/>
    <x v="0"/>
    <n v="1999"/>
    <s v="OK"/>
    <n v="1050"/>
    <n v="1999"/>
    <n v="299.84999999999997"/>
    <n v="1699.15"/>
    <n v="1050"/>
    <n v="649.15000000000009"/>
    <n v="0.38204396315804967"/>
    <n v="3"/>
    <x v="5"/>
    <s v="Low"/>
  </r>
  <r>
    <s v="ORD-5139"/>
    <d v="2025-09-19T00:00:00"/>
    <d v="2025-09-22T00:00:00"/>
    <x v="3"/>
    <x v="0"/>
    <s v="P111"/>
    <x v="0"/>
    <s v="Consumer"/>
    <n v="5"/>
    <n v="0"/>
    <s v="UPI"/>
    <s v="No"/>
    <n v="3"/>
    <s v="Bluetooth Speaker"/>
    <x v="1"/>
    <n v="2799"/>
    <s v="OK"/>
    <n v="1650"/>
    <n v="13995"/>
    <n v="0"/>
    <n v="13995"/>
    <n v="8250"/>
    <n v="5745"/>
    <n v="0.41050375133976419"/>
    <n v="3"/>
    <x v="9"/>
    <s v="Medium"/>
  </r>
  <r>
    <s v="ORD-5140"/>
    <d v="2025-03-01T00:00:00"/>
    <d v="2025-03-07T00:00:00"/>
    <x v="4"/>
    <x v="1"/>
    <s v="P109"/>
    <x v="2"/>
    <s v="Small Business"/>
    <n v="3"/>
    <n v="0"/>
    <s v="Net Banking"/>
    <s v="No"/>
    <n v="4"/>
    <s v="Ergonomic Chair"/>
    <x v="0"/>
    <n v="10499"/>
    <s v="OK"/>
    <n v="7600"/>
    <n v="31497"/>
    <n v="0"/>
    <n v="31497"/>
    <n v="22800"/>
    <n v="8697"/>
    <n v="0.27612153538432233"/>
    <n v="6"/>
    <x v="8"/>
    <s v="High"/>
  </r>
  <r>
    <s v="ORD-5141"/>
    <d v="2025-03-14T00:00:00"/>
    <d v="2025-03-18T00:00:00"/>
    <x v="0"/>
    <x v="2"/>
    <s v="P106"/>
    <x v="1"/>
    <s v="Small Business"/>
    <n v="2"/>
    <n v="0.05"/>
    <s v="Cash on Delivery"/>
    <s v="No"/>
    <n v="5"/>
    <s v="Wireless Headset"/>
    <x v="1"/>
    <n v="3499"/>
    <s v="OK"/>
    <n v="2100"/>
    <n v="6998"/>
    <n v="349.90000000000003"/>
    <n v="6648.1"/>
    <n v="4200"/>
    <n v="2448.1000000000004"/>
    <n v="0.36824054993155941"/>
    <n v="4"/>
    <x v="8"/>
    <s v="Low"/>
  </r>
  <r>
    <s v="ORD-5142"/>
    <d v="2025-01-18T00:00:00"/>
    <d v="2025-01-20T00:00:00"/>
    <x v="1"/>
    <x v="3"/>
    <s v="P107"/>
    <x v="1"/>
    <s v="Small Business"/>
    <n v="2"/>
    <n v="0.2"/>
    <s v="UPI"/>
    <s v="No"/>
    <n v="5"/>
    <s v="Laptop Stand"/>
    <x v="3"/>
    <n v="1899"/>
    <s v="OK"/>
    <n v="980"/>
    <n v="3798"/>
    <n v="759.6"/>
    <n v="3038.4"/>
    <n v="1960"/>
    <n v="1078.4000000000001"/>
    <n v="0.35492364402317012"/>
    <n v="2"/>
    <x v="11"/>
    <s v="Low"/>
  </r>
  <r>
    <s v="ORD-5143"/>
    <d v="2025-02-03T00:00:00"/>
    <d v="2025-02-06T00:00:00"/>
    <x v="2"/>
    <x v="4"/>
    <s v="P107"/>
    <x v="0"/>
    <s v="Consumer"/>
    <n v="1"/>
    <n v="0.2"/>
    <s v="Debit Card"/>
    <s v="No"/>
    <n v="5"/>
    <s v="Laptop Stand"/>
    <x v="3"/>
    <n v="1899"/>
    <s v="OK"/>
    <n v="980"/>
    <n v="1899"/>
    <n v="379.8"/>
    <n v="1519.2"/>
    <n v="980"/>
    <n v="539.20000000000005"/>
    <n v="0.35492364402317012"/>
    <n v="3"/>
    <x v="5"/>
    <s v="Low"/>
  </r>
  <r>
    <s v="ORD-5144"/>
    <d v="2025-12-02T00:00:00"/>
    <d v="2025-12-06T00:00:00"/>
    <x v="3"/>
    <x v="5"/>
    <s v="P106"/>
    <x v="3"/>
    <s v="Consumer"/>
    <n v="4"/>
    <n v="0.2"/>
    <s v="UPI"/>
    <s v="No"/>
    <n v="5"/>
    <s v="Wireless Headset"/>
    <x v="1"/>
    <n v="3499"/>
    <s v="OK"/>
    <n v="2100"/>
    <n v="13996"/>
    <n v="2799.2000000000003"/>
    <n v="11196.8"/>
    <n v="8400"/>
    <n v="2796.7999999999993"/>
    <n v="0.24978565304372674"/>
    <n v="4"/>
    <x v="4"/>
    <s v="Medium"/>
  </r>
  <r>
    <s v="ORD-5145"/>
    <d v="2025-05-11T00:00:00"/>
    <d v="2025-05-17T00:00:00"/>
    <x v="4"/>
    <x v="0"/>
    <s v="P102"/>
    <x v="0"/>
    <s v="Small Business"/>
    <n v="3"/>
    <n v="0.15"/>
    <s v="Net Banking"/>
    <s v="No"/>
    <n v="3"/>
    <s v="Mechanical Keyboard"/>
    <x v="3"/>
    <n v="2499"/>
    <s v="OK"/>
    <n v="1450"/>
    <n v="7497"/>
    <n v="1124.55"/>
    <n v="6372.45"/>
    <n v="4350"/>
    <n v="2022.4499999999998"/>
    <n v="0.31737400842690017"/>
    <n v="6"/>
    <x v="0"/>
    <s v="Low"/>
  </r>
  <r>
    <s v="ORD-5146"/>
    <d v="2025-07-22T00:00:00"/>
    <d v="2025-07-29T00:00:00"/>
    <x v="0"/>
    <x v="1"/>
    <s v="P102"/>
    <x v="0"/>
    <s v="Small Business"/>
    <n v="2"/>
    <n v="0"/>
    <s v="Credit Card"/>
    <s v="No"/>
    <n v="5"/>
    <s v="Mechanical Keyboard"/>
    <x v="3"/>
    <n v="2499"/>
    <s v="OK"/>
    <n v="1450"/>
    <n v="4998"/>
    <n v="0"/>
    <n v="4998"/>
    <n v="2900"/>
    <n v="2098"/>
    <n v="0.41976790716286516"/>
    <n v="7"/>
    <x v="2"/>
    <s v="Low"/>
  </r>
  <r>
    <s v="ORD-5147"/>
    <d v="2025-05-29T00:00:00"/>
    <d v="2025-06-02T00:00:00"/>
    <x v="1"/>
    <x v="2"/>
    <s v="P103"/>
    <x v="0"/>
    <s v="Corporate"/>
    <n v="4"/>
    <n v="0.2"/>
    <s v="UPI"/>
    <s v="No"/>
    <n v="5"/>
    <s v="HD Webcam"/>
    <x v="3"/>
    <n v="2899"/>
    <s v="OK"/>
    <n v="1700"/>
    <n v="11596"/>
    <n v="2319.2000000000003"/>
    <n v="9276.7999999999993"/>
    <n v="6800"/>
    <n v="2476.7999999999993"/>
    <n v="0.26698861676440144"/>
    <n v="4"/>
    <x v="0"/>
    <s v="Low"/>
  </r>
  <r>
    <s v="ORD-5148"/>
    <d v="2025-06-12T00:00:00"/>
    <d v="2025-06-15T00:00:00"/>
    <x v="2"/>
    <x v="3"/>
    <s v="P112"/>
    <x v="2"/>
    <s v="Small Business"/>
    <n v="1"/>
    <n v="0"/>
    <s v="Cash on Delivery"/>
    <s v="No"/>
    <n v="4"/>
    <s v="Portable HDD 2TB"/>
    <x v="2"/>
    <n v="5899"/>
    <s v="OK"/>
    <n v="4100"/>
    <n v="5899"/>
    <n v="0"/>
    <n v="5899"/>
    <n v="4100"/>
    <n v="1799"/>
    <n v="0.30496694354975418"/>
    <n v="3"/>
    <x v="3"/>
    <s v="Low"/>
  </r>
  <r>
    <s v="ORD-5149"/>
    <d v="2025-07-29T00:00:00"/>
    <d v="2025-08-06T00:00:00"/>
    <x v="3"/>
    <x v="4"/>
    <s v="P110"/>
    <x v="1"/>
    <s v="Small Business"/>
    <n v="2"/>
    <n v="0"/>
    <s v="Net Banking"/>
    <s v="Yes"/>
    <n v="1"/>
    <s v="LED Desk Lamp"/>
    <x v="0"/>
    <n v="1999"/>
    <s v="OK"/>
    <n v="1050"/>
    <n v="3998"/>
    <n v="0"/>
    <n v="3998"/>
    <n v="2100"/>
    <n v="1898"/>
    <n v="0.47473736868434219"/>
    <n v="8"/>
    <x v="2"/>
    <s v="Low"/>
  </r>
  <r>
    <s v="ORD-5150"/>
    <d v="2025-07-12T00:00:00"/>
    <d v="2025-07-16T00:00:00"/>
    <x v="4"/>
    <x v="5"/>
    <s v="P108"/>
    <x v="1"/>
    <s v="Corporate"/>
    <n v="2"/>
    <n v="0"/>
    <s v="Cash on Delivery"/>
    <s v="No"/>
    <n v="3"/>
    <s v="SSD 1TB"/>
    <x v="2"/>
    <n v="6999"/>
    <s v="OK"/>
    <n v="4900"/>
    <n v="13998"/>
    <n v="0"/>
    <n v="13998"/>
    <n v="9800"/>
    <n v="4198"/>
    <n v="0.29989998571224463"/>
    <n v="4"/>
    <x v="2"/>
    <s v="Medium"/>
  </r>
  <r>
    <s v="ORD-5151"/>
    <d v="2025-11-23T00:00:00"/>
    <d v="2025-11-26T00:00:00"/>
    <x v="0"/>
    <x v="0"/>
    <s v="P107"/>
    <x v="0"/>
    <s v="Consumer"/>
    <n v="2"/>
    <n v="0.1"/>
    <s v="Credit Card"/>
    <s v="No"/>
    <n v="5"/>
    <s v="Laptop Stand"/>
    <x v="3"/>
    <n v="1899"/>
    <s v="OK"/>
    <n v="980"/>
    <n v="3798"/>
    <n v="379.8"/>
    <n v="3418.2"/>
    <n v="1960"/>
    <n v="1458.1999999999998"/>
    <n v="0.42659879468726225"/>
    <n v="3"/>
    <x v="1"/>
    <s v="Low"/>
  </r>
  <r>
    <s v="ORD-5152"/>
    <d v="2025-09-27T00:00:00"/>
    <d v="2025-10-01T00:00:00"/>
    <x v="1"/>
    <x v="1"/>
    <s v="P107"/>
    <x v="2"/>
    <s v="Corporate"/>
    <n v="3"/>
    <n v="0.1"/>
    <s v="Credit Card"/>
    <s v="No"/>
    <n v="4"/>
    <s v="Laptop Stand"/>
    <x v="3"/>
    <n v="1899"/>
    <s v="OK"/>
    <n v="980"/>
    <n v="5697"/>
    <n v="569.70000000000005"/>
    <n v="5127.3"/>
    <n v="2940"/>
    <n v="2187.3000000000002"/>
    <n v="0.42659879468726231"/>
    <n v="4"/>
    <x v="9"/>
    <s v="Low"/>
  </r>
  <r>
    <s v="ORD-5153"/>
    <d v="2025-10-24T00:00:00"/>
    <d v="2025-10-28T00:00:00"/>
    <x v="2"/>
    <x v="2"/>
    <s v="P110"/>
    <x v="0"/>
    <s v="Corporate"/>
    <n v="3"/>
    <n v="0"/>
    <s v="Credit Card"/>
    <s v="No"/>
    <n v="4"/>
    <s v="LED Desk Lamp"/>
    <x v="0"/>
    <n v="1999"/>
    <s v="OK"/>
    <n v="1050"/>
    <n v="5997"/>
    <n v="0"/>
    <n v="5997"/>
    <n v="3150"/>
    <n v="2847"/>
    <n v="0.47473736868434219"/>
    <n v="4"/>
    <x v="10"/>
    <s v="Low"/>
  </r>
  <r>
    <s v="ORD-5154"/>
    <d v="2025-02-06T00:00:00"/>
    <d v="2025-02-07T00:00:00"/>
    <x v="3"/>
    <x v="3"/>
    <s v="P102"/>
    <x v="3"/>
    <s v="Corporate"/>
    <n v="2"/>
    <n v="0"/>
    <s v="UPI"/>
    <s v="No"/>
    <n v="4"/>
    <s v="Mechanical Keyboard"/>
    <x v="3"/>
    <n v="2499"/>
    <s v="OK"/>
    <n v="1450"/>
    <n v="4998"/>
    <n v="0"/>
    <n v="4998"/>
    <n v="2900"/>
    <n v="2098"/>
    <n v="0.41976790716286516"/>
    <n v="1"/>
    <x v="5"/>
    <s v="Low"/>
  </r>
  <r>
    <s v="ORD-5155"/>
    <d v="2025-05-20T00:00:00"/>
    <d v="2025-05-27T00:00:00"/>
    <x v="4"/>
    <x v="4"/>
    <s v="P107"/>
    <x v="3"/>
    <s v="Corporate"/>
    <n v="1"/>
    <n v="0"/>
    <s v="UPI"/>
    <s v="No"/>
    <n v="3"/>
    <s v="Laptop Stand"/>
    <x v="3"/>
    <n v="1899"/>
    <s v="OK"/>
    <n v="980"/>
    <n v="1899"/>
    <n v="0"/>
    <n v="1899"/>
    <n v="980"/>
    <n v="919"/>
    <n v="0.48393891521853605"/>
    <n v="7"/>
    <x v="0"/>
    <s v="Low"/>
  </r>
  <r>
    <s v="ORD-5156"/>
    <d v="2025-03-04T00:00:00"/>
    <d v="2025-03-09T00:00:00"/>
    <x v="0"/>
    <x v="5"/>
    <s v="P111"/>
    <x v="1"/>
    <s v="Corporate"/>
    <n v="2"/>
    <n v="0"/>
    <s v="UPI"/>
    <s v="No"/>
    <n v="3"/>
    <s v="Bluetooth Speaker"/>
    <x v="1"/>
    <n v="2799"/>
    <s v="OK"/>
    <n v="1650"/>
    <n v="5598"/>
    <n v="0"/>
    <n v="5598"/>
    <n v="3300"/>
    <n v="2298"/>
    <n v="0.41050375133976419"/>
    <n v="5"/>
    <x v="8"/>
    <s v="Low"/>
  </r>
  <r>
    <s v="ORD-5157"/>
    <d v="2025-04-02T00:00:00"/>
    <d v="2025-04-09T00:00:00"/>
    <x v="1"/>
    <x v="0"/>
    <s v="P110"/>
    <x v="3"/>
    <s v="Corporate"/>
    <n v="2"/>
    <n v="0.15"/>
    <s v="Credit Card"/>
    <s v="No"/>
    <n v="4"/>
    <s v="LED Desk Lamp"/>
    <x v="0"/>
    <n v="1999"/>
    <s v="OK"/>
    <n v="1050"/>
    <n v="3998"/>
    <n v="599.69999999999993"/>
    <n v="3398.3"/>
    <n v="2100"/>
    <n v="1298.3000000000002"/>
    <n v="0.38204396315804967"/>
    <n v="7"/>
    <x v="6"/>
    <s v="Low"/>
  </r>
  <r>
    <s v="ORD-5158"/>
    <d v="2025-04-06T00:00:00"/>
    <d v="2025-04-14T00:00:00"/>
    <x v="2"/>
    <x v="1"/>
    <s v="P109"/>
    <x v="1"/>
    <s v="Small Business"/>
    <n v="4"/>
    <n v="0.1"/>
    <s v="Cash on Delivery"/>
    <s v="No"/>
    <n v="5"/>
    <s v="Ergonomic Chair"/>
    <x v="0"/>
    <n v="10499"/>
    <s v="OK"/>
    <n v="7600"/>
    <n v="41996"/>
    <n v="4199.6000000000004"/>
    <n v="37796.400000000001"/>
    <n v="30400"/>
    <n v="7396.4000000000015"/>
    <n v="0.19569059487146928"/>
    <n v="8"/>
    <x v="6"/>
    <s v="High"/>
  </r>
  <r>
    <s v="ORD-5159"/>
    <d v="2025-01-10T00:00:00"/>
    <d v="2025-01-12T00:00:00"/>
    <x v="3"/>
    <x v="2"/>
    <s v="P101"/>
    <x v="0"/>
    <s v="Small Business"/>
    <n v="3"/>
    <n v="0.2"/>
    <s v="Debit Card"/>
    <s v="No"/>
    <n v="3"/>
    <s v="Wireless Mouse"/>
    <x v="3"/>
    <n v="799"/>
    <s v="OK"/>
    <n v="420"/>
    <n v="2397"/>
    <n v="479.40000000000003"/>
    <n v="1917.6"/>
    <n v="1260"/>
    <n v="657.59999999999991"/>
    <n v="0.34292866082603252"/>
    <n v="2"/>
    <x v="11"/>
    <s v="Low"/>
  </r>
  <r>
    <s v="ORD-5160"/>
    <d v="2025-09-05T00:00:00"/>
    <d v="2025-09-09T00:00:00"/>
    <x v="4"/>
    <x v="3"/>
    <s v="P104"/>
    <x v="2"/>
    <s v="Consumer"/>
    <n v="1"/>
    <n v="0"/>
    <s v="Credit Card"/>
    <s v="No"/>
    <n v="5"/>
    <s v="USB-C Hub"/>
    <x v="3"/>
    <n v="1599"/>
    <s v="OK"/>
    <n v="870"/>
    <n v="1599"/>
    <n v="0"/>
    <n v="1599"/>
    <n v="870"/>
    <n v="729"/>
    <n v="0.45590994371482174"/>
    <n v="4"/>
    <x v="9"/>
    <s v="Low"/>
  </r>
  <r>
    <s v="ORD-5161"/>
    <d v="2025-02-14T00:00:00"/>
    <d v="2025-02-17T00:00:00"/>
    <x v="0"/>
    <x v="4"/>
    <s v="P101"/>
    <x v="1"/>
    <s v="Small Business"/>
    <n v="3"/>
    <n v="0"/>
    <s v="UPI"/>
    <s v="No"/>
    <n v="5"/>
    <s v="Wireless Mouse"/>
    <x v="3"/>
    <n v="799"/>
    <s v="OK"/>
    <n v="420"/>
    <n v="2397"/>
    <n v="0"/>
    <n v="2397"/>
    <n v="1260"/>
    <n v="1137"/>
    <n v="0.47434292866082606"/>
    <n v="3"/>
    <x v="5"/>
    <s v="Low"/>
  </r>
  <r>
    <s v="ORD-5162"/>
    <d v="2025-02-01T00:00:00"/>
    <d v="2025-02-03T00:00:00"/>
    <x v="1"/>
    <x v="5"/>
    <s v="P109"/>
    <x v="3"/>
    <s v="Small Business"/>
    <n v="1"/>
    <n v="0"/>
    <s v="Cash on Delivery"/>
    <s v="No"/>
    <n v="3"/>
    <s v="Ergonomic Chair"/>
    <x v="0"/>
    <n v="10499"/>
    <s v="OK"/>
    <n v="7600"/>
    <n v="10499"/>
    <n v="0"/>
    <n v="10499"/>
    <n v="7600"/>
    <n v="2899"/>
    <n v="0.27612153538432233"/>
    <n v="2"/>
    <x v="5"/>
    <s v="Medium"/>
  </r>
  <r>
    <s v="ORD-5163"/>
    <d v="2025-01-26T00:00:00"/>
    <d v="2025-01-29T00:00:00"/>
    <x v="2"/>
    <x v="0"/>
    <s v="P110"/>
    <x v="0"/>
    <s v="Consumer"/>
    <n v="2"/>
    <n v="0.15"/>
    <s v="Credit Card"/>
    <s v="Yes"/>
    <n v="2"/>
    <s v="LED Desk Lamp"/>
    <x v="0"/>
    <n v="1999"/>
    <s v="OK"/>
    <n v="1050"/>
    <n v="3998"/>
    <n v="599.69999999999993"/>
    <n v="3398.3"/>
    <n v="2100"/>
    <n v="1298.3000000000002"/>
    <n v="0.38204396315804967"/>
    <n v="3"/>
    <x v="11"/>
    <s v="Low"/>
  </r>
  <r>
    <s v="ORD-5164"/>
    <d v="2025-11-12T00:00:00"/>
    <d v="2025-11-15T00:00:00"/>
    <x v="3"/>
    <x v="1"/>
    <s v="P103"/>
    <x v="3"/>
    <s v="Small Business"/>
    <n v="5"/>
    <n v="0.1"/>
    <s v="Debit Card"/>
    <s v="No"/>
    <n v="5"/>
    <s v="HD Webcam"/>
    <x v="3"/>
    <n v="2899"/>
    <s v="OK"/>
    <n v="1700"/>
    <n v="14495"/>
    <n v="1449.5"/>
    <n v="13045.5"/>
    <n v="8500"/>
    <n v="4545.5"/>
    <n v="0.34843432601280133"/>
    <n v="3"/>
    <x v="1"/>
    <s v="Medium"/>
  </r>
  <r>
    <s v="ORD-5165"/>
    <d v="2025-09-25T00:00:00"/>
    <d v="2025-10-02T00:00:00"/>
    <x v="4"/>
    <x v="2"/>
    <s v="P107"/>
    <x v="1"/>
    <s v="Corporate"/>
    <n v="4"/>
    <n v="0"/>
    <s v="Net Banking"/>
    <s v="No"/>
    <n v="4"/>
    <s v="Laptop Stand"/>
    <x v="3"/>
    <n v="1899"/>
    <s v="OK"/>
    <n v="980"/>
    <n v="7596"/>
    <n v="0"/>
    <n v="7596"/>
    <n v="3920"/>
    <n v="3676"/>
    <n v="0.48393891521853605"/>
    <n v="7"/>
    <x v="9"/>
    <s v="Low"/>
  </r>
  <r>
    <s v="ORD-5166"/>
    <d v="2025-09-23T00:00:00"/>
    <d v="2025-09-30T00:00:00"/>
    <x v="0"/>
    <x v="3"/>
    <s v="P108"/>
    <x v="1"/>
    <s v="Consumer"/>
    <n v="4"/>
    <n v="0.2"/>
    <s v="Credit Card"/>
    <s v="No"/>
    <n v="4"/>
    <s v="SSD 1TB"/>
    <x v="2"/>
    <n v="6999"/>
    <s v="OK"/>
    <n v="4900"/>
    <n v="27996"/>
    <n v="5599.2000000000007"/>
    <n v="22396.799999999999"/>
    <n v="19600"/>
    <n v="2796.7999999999993"/>
    <n v="0.12487498214030573"/>
    <n v="7"/>
    <x v="9"/>
    <s v="High"/>
  </r>
  <r>
    <s v="ORD-5167"/>
    <d v="2025-09-22T00:00:00"/>
    <d v="2025-09-24T00:00:00"/>
    <x v="1"/>
    <x v="4"/>
    <s v="P108"/>
    <x v="2"/>
    <s v="Corporate"/>
    <n v="1"/>
    <n v="0.2"/>
    <s v="Debit Card"/>
    <s v="No"/>
    <n v="3"/>
    <s v="SSD 1TB"/>
    <x v="2"/>
    <n v="6999"/>
    <s v="OK"/>
    <n v="4900"/>
    <n v="6999"/>
    <n v="1399.8000000000002"/>
    <n v="5599.2"/>
    <n v="4900"/>
    <n v="699.19999999999982"/>
    <n v="0.12487498214030573"/>
    <n v="2"/>
    <x v="9"/>
    <s v="Low"/>
  </r>
  <r>
    <s v="ORD-5168"/>
    <d v="2025-10-24T00:00:00"/>
    <d v="2025-10-28T00:00:00"/>
    <x v="2"/>
    <x v="5"/>
    <s v="P111"/>
    <x v="0"/>
    <s v="Consumer"/>
    <n v="2"/>
    <n v="0.05"/>
    <s v="Debit Card"/>
    <s v="No"/>
    <n v="4"/>
    <s v="Bluetooth Speaker"/>
    <x v="1"/>
    <n v="2799"/>
    <s v="OK"/>
    <n v="1650"/>
    <n v="5598"/>
    <n v="279.90000000000003"/>
    <n v="5318.1"/>
    <n v="3300"/>
    <n v="2018.1000000000004"/>
    <n v="0.37947763298922554"/>
    <n v="4"/>
    <x v="10"/>
    <s v="Low"/>
  </r>
  <r>
    <s v="ORD-5169"/>
    <d v="2025-11-08T00:00:00"/>
    <d v="2025-11-13T00:00:00"/>
    <x v="3"/>
    <x v="0"/>
    <s v="P110"/>
    <x v="3"/>
    <s v="Consumer"/>
    <n v="3"/>
    <n v="0.2"/>
    <s v="Net Banking"/>
    <s v="No"/>
    <n v="4"/>
    <s v="LED Desk Lamp"/>
    <x v="0"/>
    <n v="1999"/>
    <s v="OK"/>
    <n v="1050"/>
    <n v="5997"/>
    <n v="1199.4000000000001"/>
    <n v="4797.6000000000004"/>
    <n v="3150"/>
    <n v="1647.6000000000004"/>
    <n v="0.34342171085542778"/>
    <n v="5"/>
    <x v="1"/>
    <s v="Low"/>
  </r>
  <r>
    <s v="ORD-5170"/>
    <d v="2025-08-22T00:00:00"/>
    <d v="2025-08-27T00:00:00"/>
    <x v="4"/>
    <x v="1"/>
    <s v="P111"/>
    <x v="3"/>
    <s v="Small Business"/>
    <n v="4"/>
    <n v="0.05"/>
    <s v="Credit Card"/>
    <s v="No"/>
    <n v="5"/>
    <s v="Bluetooth Speaker"/>
    <x v="1"/>
    <n v="2799"/>
    <s v="OK"/>
    <n v="1650"/>
    <n v="11196"/>
    <n v="559.80000000000007"/>
    <n v="10636.2"/>
    <n v="6600"/>
    <n v="4036.2000000000007"/>
    <n v="0.37947763298922554"/>
    <n v="5"/>
    <x v="7"/>
    <s v="Medium"/>
  </r>
  <r>
    <s v="ORD-5171"/>
    <d v="2025-07-13T00:00:00"/>
    <d v="2025-07-16T00:00:00"/>
    <x v="0"/>
    <x v="2"/>
    <s v="P102"/>
    <x v="2"/>
    <s v="Corporate"/>
    <n v="5"/>
    <n v="0.2"/>
    <s v="UPI"/>
    <s v="No"/>
    <n v="3"/>
    <s v="Mechanical Keyboard"/>
    <x v="3"/>
    <n v="2499"/>
    <s v="OK"/>
    <n v="1450"/>
    <n v="12495"/>
    <n v="2499"/>
    <n v="9996"/>
    <n v="7250"/>
    <n v="2746"/>
    <n v="0.27470988395358142"/>
    <n v="3"/>
    <x v="2"/>
    <s v="Low"/>
  </r>
  <r>
    <s v="ORD-5172"/>
    <d v="2025-09-12T00:00:00"/>
    <d v="2025-09-13T00:00:00"/>
    <x v="1"/>
    <x v="3"/>
    <s v="P101"/>
    <x v="1"/>
    <s v="Consumer"/>
    <n v="4"/>
    <n v="0.2"/>
    <s v="Cash on Delivery"/>
    <s v="No"/>
    <n v="4"/>
    <s v="Wireless Mouse"/>
    <x v="3"/>
    <n v="799"/>
    <s v="OK"/>
    <n v="420"/>
    <n v="3196"/>
    <n v="639.20000000000005"/>
    <n v="2556.8000000000002"/>
    <n v="1680"/>
    <n v="876.80000000000018"/>
    <n v="0.34292866082603257"/>
    <n v="1"/>
    <x v="9"/>
    <s v="Low"/>
  </r>
  <r>
    <s v="ORD-5173"/>
    <d v="2025-01-02T00:00:00"/>
    <d v="2025-01-05T00:00:00"/>
    <x v="2"/>
    <x v="4"/>
    <s v="P104"/>
    <x v="3"/>
    <s v="Corporate"/>
    <n v="1"/>
    <n v="0.15"/>
    <s v="Debit Card"/>
    <s v="No"/>
    <n v="5"/>
    <s v="USB-C Hub"/>
    <x v="3"/>
    <n v="1599"/>
    <s v="OK"/>
    <n v="870"/>
    <n v="1599"/>
    <n v="239.85"/>
    <n v="1359.15"/>
    <n v="870"/>
    <n v="489.15000000000009"/>
    <n v="0.35989405142920211"/>
    <n v="3"/>
    <x v="11"/>
    <s v="Low"/>
  </r>
  <r>
    <s v="ORD-5174"/>
    <d v="2025-09-07T00:00:00"/>
    <d v="2025-09-11T00:00:00"/>
    <x v="3"/>
    <x v="5"/>
    <s v="P110"/>
    <x v="3"/>
    <s v="Consumer"/>
    <n v="1"/>
    <n v="0.1"/>
    <s v="Credit Card"/>
    <s v="No"/>
    <n v="4"/>
    <s v="LED Desk Lamp"/>
    <x v="0"/>
    <n v="1999"/>
    <s v="OK"/>
    <n v="1050"/>
    <n v="1999"/>
    <n v="199.9"/>
    <n v="1799.1"/>
    <n v="1050"/>
    <n v="749.09999999999991"/>
    <n v="0.4163748540937135"/>
    <n v="4"/>
    <x v="9"/>
    <s v="Low"/>
  </r>
  <r>
    <s v="ORD-5175"/>
    <d v="2025-10-20T00:00:00"/>
    <d v="2025-10-22T00:00:00"/>
    <x v="4"/>
    <x v="0"/>
    <s v="P111"/>
    <x v="2"/>
    <s v="Corporate"/>
    <n v="4"/>
    <n v="0"/>
    <s v="UPI"/>
    <s v="No"/>
    <n v="3"/>
    <s v="Bluetooth Speaker"/>
    <x v="1"/>
    <n v="2799"/>
    <s v="OK"/>
    <n v="1650"/>
    <n v="11196"/>
    <n v="0"/>
    <n v="11196"/>
    <n v="6600"/>
    <n v="4596"/>
    <n v="0.41050375133976419"/>
    <n v="2"/>
    <x v="10"/>
    <s v="Medium"/>
  </r>
  <r>
    <s v="ORD-5176"/>
    <d v="2025-06-02T00:00:00"/>
    <d v="2025-06-07T00:00:00"/>
    <x v="0"/>
    <x v="1"/>
    <s v="P112"/>
    <x v="0"/>
    <s v="Corporate"/>
    <n v="2"/>
    <n v="0.2"/>
    <s v="UPI"/>
    <s v="No"/>
    <n v="3"/>
    <s v="Portable HDD 2TB"/>
    <x v="2"/>
    <n v="5899"/>
    <s v="OK"/>
    <n v="4100"/>
    <n v="11798"/>
    <n v="2359.6"/>
    <n v="9438.4"/>
    <n v="8200"/>
    <n v="1238.3999999999996"/>
    <n v="0.13120867943719272"/>
    <n v="5"/>
    <x v="3"/>
    <s v="Low"/>
  </r>
  <r>
    <s v="ORD-5177"/>
    <d v="2025-05-10T00:00:00"/>
    <d v="2025-05-13T00:00:00"/>
    <x v="1"/>
    <x v="2"/>
    <s v="P103"/>
    <x v="2"/>
    <s v="Corporate"/>
    <n v="3"/>
    <n v="0.2"/>
    <s v="UPI"/>
    <s v="No"/>
    <n v="3"/>
    <s v="HD Webcam"/>
    <x v="3"/>
    <n v="2899"/>
    <s v="OK"/>
    <n v="1700"/>
    <n v="8697"/>
    <n v="1739.4"/>
    <n v="6957.6"/>
    <n v="5100"/>
    <n v="1857.6000000000004"/>
    <n v="0.26698861676440155"/>
    <n v="3"/>
    <x v="0"/>
    <s v="Low"/>
  </r>
  <r>
    <s v="ORD-5178"/>
    <d v="2025-01-08T00:00:00"/>
    <d v="2025-01-10T00:00:00"/>
    <x v="2"/>
    <x v="3"/>
    <s v="P101"/>
    <x v="1"/>
    <s v="Consumer"/>
    <n v="1"/>
    <n v="0.2"/>
    <s v="Debit Card"/>
    <s v="No"/>
    <n v="3"/>
    <s v="Wireless Mouse"/>
    <x v="3"/>
    <n v="799"/>
    <s v="OK"/>
    <n v="420"/>
    <n v="799"/>
    <n v="159.80000000000001"/>
    <n v="639.20000000000005"/>
    <n v="420"/>
    <n v="219.20000000000005"/>
    <n v="0.34292866082603257"/>
    <n v="2"/>
    <x v="11"/>
    <s v="Low"/>
  </r>
  <r>
    <s v="ORD-5179"/>
    <d v="2025-01-11T00:00:00"/>
    <d v="2025-01-18T00:00:00"/>
    <x v="3"/>
    <x v="4"/>
    <s v="P109"/>
    <x v="3"/>
    <s v="Small Business"/>
    <n v="1"/>
    <n v="0"/>
    <s v="Cash on Delivery"/>
    <s v="No"/>
    <n v="5"/>
    <s v="Ergonomic Chair"/>
    <x v="0"/>
    <n v="10499"/>
    <s v="OK"/>
    <n v="7600"/>
    <n v="10499"/>
    <n v="0"/>
    <n v="10499"/>
    <n v="7600"/>
    <n v="2899"/>
    <n v="0.27612153538432233"/>
    <n v="7"/>
    <x v="11"/>
    <s v="Medium"/>
  </r>
  <r>
    <s v="ORD-5180"/>
    <d v="2025-11-15T00:00:00"/>
    <d v="2025-11-22T00:00:00"/>
    <x v="4"/>
    <x v="5"/>
    <s v="P999"/>
    <x v="1"/>
    <s v="Consumer"/>
    <n v="2"/>
    <n v="0.2"/>
    <s v="Net Banking"/>
    <s v="No"/>
    <n v="5"/>
    <s v="NOT FOUND"/>
    <x v="5"/>
    <s v="NOT FOUND"/>
    <s v="Missing Product"/>
    <s v="NOT FOUND"/>
    <s v="NOT FOUND"/>
    <s v="NOT FOUND"/>
    <s v="NOT FOUND"/>
    <s v="NOT FOUND"/>
    <s v="NOT FOUND"/>
    <s v=""/>
    <n v="7"/>
    <x v="1"/>
    <s v=""/>
  </r>
  <r>
    <s v="ORD-5181"/>
    <d v="2025-03-18T00:00:00"/>
    <d v="2025-03-19T00:00:00"/>
    <x v="0"/>
    <x v="0"/>
    <s v="P107"/>
    <x v="1"/>
    <s v="Small Business"/>
    <n v="5"/>
    <n v="0"/>
    <s v="Cash on Delivery"/>
    <s v="No"/>
    <n v="3"/>
    <s v="Laptop Stand"/>
    <x v="3"/>
    <n v="1899"/>
    <s v="OK"/>
    <n v="980"/>
    <n v="9495"/>
    <n v="0"/>
    <n v="9495"/>
    <n v="4900"/>
    <n v="4595"/>
    <n v="0.48393891521853605"/>
    <n v="1"/>
    <x v="8"/>
    <s v="Low"/>
  </r>
  <r>
    <s v="ORD-5182"/>
    <d v="2025-01-04T00:00:00"/>
    <d v="2025-01-07T00:00:00"/>
    <x v="1"/>
    <x v="1"/>
    <s v="P107"/>
    <x v="0"/>
    <s v="Consumer"/>
    <n v="3"/>
    <n v="0"/>
    <s v="Cash on Delivery"/>
    <s v="No"/>
    <n v="3"/>
    <s v="Laptop Stand"/>
    <x v="3"/>
    <n v="1899"/>
    <s v="OK"/>
    <n v="980"/>
    <n v="5697"/>
    <n v="0"/>
    <n v="5697"/>
    <n v="2940"/>
    <n v="2757"/>
    <n v="0.48393891521853605"/>
    <n v="3"/>
    <x v="11"/>
    <s v="Low"/>
  </r>
  <r>
    <s v="ORD-5183"/>
    <d v="2025-05-05T00:00:00"/>
    <d v="2025-05-06T00:00:00"/>
    <x v="2"/>
    <x v="2"/>
    <s v="P101"/>
    <x v="0"/>
    <s v="Consumer"/>
    <n v="5"/>
    <n v="0"/>
    <s v="Cash on Delivery"/>
    <s v="No"/>
    <n v="4"/>
    <s v="Wireless Mouse"/>
    <x v="3"/>
    <n v="799"/>
    <s v="OK"/>
    <n v="420"/>
    <n v="3995"/>
    <n v="0"/>
    <n v="3995"/>
    <n v="2100"/>
    <n v="1895"/>
    <n v="0.47434292866082606"/>
    <n v="1"/>
    <x v="0"/>
    <s v="Low"/>
  </r>
  <r>
    <s v="ORD-5184"/>
    <d v="2025-08-21T00:00:00"/>
    <d v="2025-08-25T00:00:00"/>
    <x v="3"/>
    <x v="3"/>
    <s v="P108"/>
    <x v="1"/>
    <s v="Small Business"/>
    <n v="1"/>
    <n v="0.05"/>
    <s v="Cash on Delivery"/>
    <s v="Yes"/>
    <n v="3"/>
    <s v="SSD 1TB"/>
    <x v="2"/>
    <n v="6999"/>
    <s v="OK"/>
    <n v="4900"/>
    <n v="6999"/>
    <n v="349.95000000000005"/>
    <n v="6649.05"/>
    <n v="4900"/>
    <n v="1749.0500000000002"/>
    <n v="0.26305261653920486"/>
    <n v="4"/>
    <x v="7"/>
    <s v="Low"/>
  </r>
  <r>
    <s v="ORD-5185"/>
    <d v="2025-05-07T00:00:00"/>
    <d v="2025-05-09T00:00:00"/>
    <x v="4"/>
    <x v="4"/>
    <s v="P104"/>
    <x v="0"/>
    <s v="Corporate"/>
    <n v="5"/>
    <n v="0"/>
    <s v="Debit Card"/>
    <s v="No"/>
    <n v="5"/>
    <s v="USB-C Hub"/>
    <x v="3"/>
    <n v="1599"/>
    <s v="OK"/>
    <n v="870"/>
    <n v="7995"/>
    <n v="0"/>
    <n v="7995"/>
    <n v="4350"/>
    <n v="3645"/>
    <n v="0.45590994371482174"/>
    <n v="2"/>
    <x v="0"/>
    <s v="Low"/>
  </r>
  <r>
    <s v="ORD-5186"/>
    <d v="2025-06-25T00:00:00"/>
    <d v="2025-06-26T00:00:00"/>
    <x v="0"/>
    <x v="5"/>
    <s v="P111"/>
    <x v="2"/>
    <s v="Consumer"/>
    <n v="3"/>
    <n v="0.15"/>
    <s v="Debit Card"/>
    <s v="No"/>
    <n v="4"/>
    <s v="Bluetooth Speaker"/>
    <x v="1"/>
    <n v="2799"/>
    <s v="OK"/>
    <n v="1650"/>
    <n v="8397"/>
    <n v="1259.55"/>
    <n v="7137.45"/>
    <n v="4950"/>
    <n v="2187.4499999999998"/>
    <n v="0.30647500157619317"/>
    <n v="1"/>
    <x v="3"/>
    <s v="Low"/>
  </r>
  <r>
    <s v="ORD-5187"/>
    <d v="2025-05-18T00:00:00"/>
    <d v="2025-05-24T00:00:00"/>
    <x v="1"/>
    <x v="0"/>
    <s v="P103"/>
    <x v="0"/>
    <s v="Small Business"/>
    <n v="5"/>
    <n v="0"/>
    <s v="Cash on Delivery"/>
    <s v="No"/>
    <n v="5"/>
    <s v="HD Webcam"/>
    <x v="3"/>
    <n v="2899"/>
    <s v="OK"/>
    <n v="1700"/>
    <n v="14495"/>
    <n v="0"/>
    <n v="14495"/>
    <n v="8500"/>
    <n v="5995"/>
    <n v="0.41359089341152122"/>
    <n v="6"/>
    <x v="0"/>
    <s v="Medium"/>
  </r>
  <r>
    <s v="ORD-5188"/>
    <d v="2025-01-26T00:00:00"/>
    <d v="2025-01-31T00:00:00"/>
    <x v="2"/>
    <x v="1"/>
    <s v="P101"/>
    <x v="3"/>
    <s v="Consumer"/>
    <n v="2"/>
    <n v="0.2"/>
    <s v="Credit Card"/>
    <s v="No"/>
    <n v="4"/>
    <s v="Wireless Mouse"/>
    <x v="3"/>
    <n v="799"/>
    <s v="OK"/>
    <n v="420"/>
    <n v="1598"/>
    <n v="319.60000000000002"/>
    <n v="1278.4000000000001"/>
    <n v="840"/>
    <n v="438.40000000000009"/>
    <n v="0.34292866082603257"/>
    <n v="5"/>
    <x v="11"/>
    <s v="Low"/>
  </r>
  <r>
    <s v="ORD-5189"/>
    <d v="2025-08-26T00:00:00"/>
    <d v="2025-09-02T00:00:00"/>
    <x v="5"/>
    <x v="2"/>
    <s v="P112"/>
    <x v="2"/>
    <s v="Consumer"/>
    <n v="2"/>
    <n v="0.1"/>
    <s v="UPI"/>
    <s v="No"/>
    <n v="4"/>
    <s v="Portable HDD 2TB"/>
    <x v="2"/>
    <n v="5899"/>
    <s v="OK"/>
    <n v="4100"/>
    <n v="11798"/>
    <n v="1179.8"/>
    <n v="10618.2"/>
    <n v="8200"/>
    <n v="2418.2000000000007"/>
    <n v="0.22774104838861584"/>
    <n v="7"/>
    <x v="7"/>
    <s v="Medium"/>
  </r>
  <r>
    <s v="ORD-5190"/>
    <d v="2025-02-06T00:00:00"/>
    <d v="2025-02-08T00:00:00"/>
    <x v="4"/>
    <x v="3"/>
    <s v="P103"/>
    <x v="3"/>
    <s v="Corporate"/>
    <n v="2"/>
    <n v="0"/>
    <s v="Credit Card"/>
    <s v="No"/>
    <n v="3"/>
    <s v="HD Webcam"/>
    <x v="3"/>
    <n v="2899"/>
    <s v="OK"/>
    <n v="1700"/>
    <n v="5798"/>
    <n v="0"/>
    <n v="5798"/>
    <n v="3400"/>
    <n v="2398"/>
    <n v="0.41359089341152122"/>
    <n v="2"/>
    <x v="5"/>
    <s v="Low"/>
  </r>
  <r>
    <s v="ORD-5191"/>
    <d v="2025-03-17T00:00:00"/>
    <d v="2025-03-20T00:00:00"/>
    <x v="0"/>
    <x v="4"/>
    <s v="P107"/>
    <x v="0"/>
    <s v="Consumer"/>
    <n v="2"/>
    <n v="0"/>
    <s v="UPI"/>
    <s v="No"/>
    <n v="3"/>
    <s v="Laptop Stand"/>
    <x v="3"/>
    <n v="1899"/>
    <s v="OK"/>
    <n v="980"/>
    <n v="3798"/>
    <n v="0"/>
    <n v="3798"/>
    <n v="1960"/>
    <n v="1838"/>
    <n v="0.48393891521853605"/>
    <n v="3"/>
    <x v="8"/>
    <s v="Low"/>
  </r>
  <r>
    <s v="ORD-5192"/>
    <d v="2025-03-17T00:00:00"/>
    <d v="2025-03-20T00:00:00"/>
    <x v="1"/>
    <x v="5"/>
    <s v="P106"/>
    <x v="3"/>
    <s v="Consumer"/>
    <n v="4"/>
    <n v="0.2"/>
    <s v="Debit Card"/>
    <s v="Yes"/>
    <n v="2"/>
    <s v="Wireless Headset"/>
    <x v="1"/>
    <n v="3499"/>
    <s v="OK"/>
    <n v="2100"/>
    <n v="13996"/>
    <n v="2799.2000000000003"/>
    <n v="11196.8"/>
    <n v="8400"/>
    <n v="2796.7999999999993"/>
    <n v="0.24978565304372674"/>
    <n v="3"/>
    <x v="8"/>
    <s v="Medium"/>
  </r>
  <r>
    <s v="ORD-5193"/>
    <d v="2025-10-27T00:00:00"/>
    <d v="2025-11-04T00:00:00"/>
    <x v="2"/>
    <x v="0"/>
    <s v="P104"/>
    <x v="3"/>
    <s v="Consumer"/>
    <n v="3"/>
    <n v="0.15"/>
    <s v="UPI"/>
    <s v="No"/>
    <n v="4"/>
    <s v="USB-C Hub"/>
    <x v="3"/>
    <n v="1599"/>
    <s v="OK"/>
    <n v="870"/>
    <n v="4797"/>
    <n v="719.55"/>
    <n v="4077.45"/>
    <n v="2610"/>
    <n v="1467.4499999999998"/>
    <n v="0.35989405142920206"/>
    <n v="8"/>
    <x v="10"/>
    <s v="Low"/>
  </r>
  <r>
    <s v="ORD-5194"/>
    <d v="2025-09-14T00:00:00"/>
    <d v="2025-09-15T00:00:00"/>
    <x v="3"/>
    <x v="1"/>
    <s v="P110"/>
    <x v="1"/>
    <s v="Corporate"/>
    <n v="4"/>
    <n v="0"/>
    <s v="UPI"/>
    <s v="No"/>
    <n v="5"/>
    <s v="LED Desk Lamp"/>
    <x v="0"/>
    <n v="1999"/>
    <s v="OK"/>
    <n v="1050"/>
    <n v="7996"/>
    <n v="0"/>
    <n v="7996"/>
    <n v="4200"/>
    <n v="3796"/>
    <n v="0.47473736868434219"/>
    <n v="1"/>
    <x v="9"/>
    <s v="Low"/>
  </r>
  <r>
    <s v="ORD-5195"/>
    <d v="2025-02-09T00:00:00"/>
    <d v="2025-02-14T00:00:00"/>
    <x v="4"/>
    <x v="2"/>
    <s v="P111"/>
    <x v="0"/>
    <s v="Corporate"/>
    <n v="2"/>
    <n v="0"/>
    <s v="UPI"/>
    <s v="No"/>
    <n v="4"/>
    <s v="Bluetooth Speaker"/>
    <x v="1"/>
    <n v="2799"/>
    <s v="OK"/>
    <n v="1650"/>
    <n v="5598"/>
    <n v="0"/>
    <n v="5598"/>
    <n v="3300"/>
    <n v="2298"/>
    <n v="0.41050375133976419"/>
    <n v="5"/>
    <x v="5"/>
    <s v="Low"/>
  </r>
  <r>
    <s v="ORD-5196"/>
    <d v="2025-12-08T00:00:00"/>
    <d v="2025-12-16T00:00:00"/>
    <x v="0"/>
    <x v="3"/>
    <s v="P112"/>
    <x v="3"/>
    <s v="Corporate"/>
    <n v="1"/>
    <n v="0.2"/>
    <s v="UPI"/>
    <s v="No"/>
    <n v="3"/>
    <s v="Portable HDD 2TB"/>
    <x v="2"/>
    <n v="5899"/>
    <s v="OK"/>
    <n v="4100"/>
    <n v="5899"/>
    <n v="1179.8"/>
    <n v="4719.2"/>
    <n v="4100"/>
    <n v="619.19999999999982"/>
    <n v="0.13120867943719272"/>
    <n v="8"/>
    <x v="4"/>
    <s v="Low"/>
  </r>
  <r>
    <s v="ORD-5197"/>
    <d v="2025-02-04T00:00:00"/>
    <d v="2025-02-12T00:00:00"/>
    <x v="1"/>
    <x v="4"/>
    <s v="P106"/>
    <x v="2"/>
    <s v="Consumer"/>
    <n v="3"/>
    <n v="0"/>
    <s v="UPI"/>
    <s v="No"/>
    <n v="5"/>
    <s v="Wireless Headset"/>
    <x v="1"/>
    <n v="3499"/>
    <s v="OK"/>
    <n v="2100"/>
    <n v="10497"/>
    <n v="0"/>
    <n v="10497"/>
    <n v="6300"/>
    <n v="4197"/>
    <n v="0.3998285224349814"/>
    <n v="8"/>
    <x v="5"/>
    <s v="Medium"/>
  </r>
  <r>
    <s v="ORD-5198"/>
    <d v="2025-10-28T00:00:00"/>
    <d v="2025-11-03T00:00:00"/>
    <x v="2"/>
    <x v="5"/>
    <s v="P101"/>
    <x v="0"/>
    <s v="Small Business"/>
    <n v="3"/>
    <n v="0.15"/>
    <s v="Credit Card"/>
    <s v="Yes"/>
    <n v="1"/>
    <s v="Wireless Mouse"/>
    <x v="3"/>
    <n v="799"/>
    <s v="OK"/>
    <n v="420"/>
    <n v="2397"/>
    <n v="359.55"/>
    <n v="2037.45"/>
    <n v="1260"/>
    <n v="777.45"/>
    <n v="0.38157991607156005"/>
    <n v="6"/>
    <x v="10"/>
    <s v="Low"/>
  </r>
  <r>
    <s v="ORD-5199"/>
    <d v="2025-05-17T00:00:00"/>
    <d v="2025-05-22T00:00:00"/>
    <x v="3"/>
    <x v="0"/>
    <s v="P108"/>
    <x v="2"/>
    <s v="Small Business"/>
    <n v="2"/>
    <n v="0.1"/>
    <s v="Credit Card"/>
    <s v="No"/>
    <n v="5"/>
    <s v="SSD 1TB"/>
    <x v="2"/>
    <n v="6999"/>
    <s v="OK"/>
    <n v="4900"/>
    <n v="13998"/>
    <n v="1399.8000000000002"/>
    <n v="12598.2"/>
    <n v="9800"/>
    <n v="2798.2000000000007"/>
    <n v="0.22211109523582739"/>
    <n v="5"/>
    <x v="0"/>
    <s v="Medium"/>
  </r>
  <r>
    <s v="ORD-5200"/>
    <d v="2025-04-03T00:00:00"/>
    <d v="2025-04-11T00:00:00"/>
    <x v="4"/>
    <x v="1"/>
    <s v="P105"/>
    <x v="0"/>
    <s v="Consumer"/>
    <n v="1"/>
    <n v="0"/>
    <s v="Cash on Delivery"/>
    <s v="No"/>
    <n v="3"/>
    <s v="24-inch Monitor"/>
    <x v="4"/>
    <n v="12999"/>
    <s v="OK"/>
    <n v="9100"/>
    <n v="12999"/>
    <n v="0"/>
    <n v="12999"/>
    <n v="9100"/>
    <n v="3899"/>
    <n v="0.29994614970382338"/>
    <n v="8"/>
    <x v="6"/>
    <s v="Medium"/>
  </r>
  <r>
    <s v="ORD-5201"/>
    <d v="2025-04-05T00:00:00"/>
    <d v="2025-04-10T00:00:00"/>
    <x v="0"/>
    <x v="2"/>
    <s v="P105"/>
    <x v="2"/>
    <s v="Consumer"/>
    <n v="2"/>
    <n v="0"/>
    <s v="Cash on Delivery"/>
    <s v="No"/>
    <n v="4"/>
    <s v="24-inch Monitor"/>
    <x v="4"/>
    <n v="12999"/>
    <s v="OK"/>
    <n v="9100"/>
    <n v="25998"/>
    <n v="0"/>
    <n v="25998"/>
    <n v="18200"/>
    <n v="7798"/>
    <n v="0.29994614970382338"/>
    <n v="5"/>
    <x v="6"/>
    <s v="High"/>
  </r>
  <r>
    <s v="ORD-5202"/>
    <d v="2025-10-13T00:00:00"/>
    <d v="2025-10-15T00:00:00"/>
    <x v="1"/>
    <x v="3"/>
    <s v="P112"/>
    <x v="3"/>
    <s v="Consumer"/>
    <n v="1"/>
    <n v="0"/>
    <s v="Cash on Delivery"/>
    <s v="No"/>
    <n v="4"/>
    <s v="Portable HDD 2TB"/>
    <x v="2"/>
    <n v="5899"/>
    <s v="OK"/>
    <n v="4100"/>
    <n v="5899"/>
    <n v="0"/>
    <n v="5899"/>
    <n v="4100"/>
    <n v="1799"/>
    <n v="0.30496694354975418"/>
    <n v="2"/>
    <x v="10"/>
    <s v="Low"/>
  </r>
  <r>
    <s v="ORD-5203"/>
    <d v="2025-06-16T00:00:00"/>
    <d v="2025-06-22T00:00:00"/>
    <x v="2"/>
    <x v="4"/>
    <s v="P103"/>
    <x v="3"/>
    <s v="Consumer"/>
    <n v="3"/>
    <n v="0"/>
    <s v="Cash on Delivery"/>
    <s v="No"/>
    <n v="5"/>
    <s v="HD Webcam"/>
    <x v="3"/>
    <n v="2899"/>
    <s v="OK"/>
    <n v="1700"/>
    <n v="8697"/>
    <n v="0"/>
    <n v="8697"/>
    <n v="5100"/>
    <n v="3597"/>
    <n v="0.41359089341152122"/>
    <n v="6"/>
    <x v="3"/>
    <s v="Low"/>
  </r>
  <r>
    <s v="ORD-5204"/>
    <d v="2025-09-06T00:00:00"/>
    <d v="2025-09-08T00:00:00"/>
    <x v="3"/>
    <x v="5"/>
    <s v="P109"/>
    <x v="1"/>
    <s v="Corporate"/>
    <n v="2"/>
    <n v="0.1"/>
    <s v="Cash on Delivery"/>
    <s v="No"/>
    <n v="5"/>
    <s v="Ergonomic Chair"/>
    <x v="0"/>
    <n v="10499"/>
    <s v="OK"/>
    <n v="7600"/>
    <n v="20998"/>
    <n v="2099.8000000000002"/>
    <n v="18898.2"/>
    <n v="15200"/>
    <n v="3698.2000000000007"/>
    <n v="0.19569059487146928"/>
    <n v="2"/>
    <x v="9"/>
    <s v="Medium"/>
  </r>
  <r>
    <s v="ORD-5205"/>
    <d v="2025-05-28T00:00:00"/>
    <d v="2025-06-05T00:00:00"/>
    <x v="4"/>
    <x v="0"/>
    <s v="P104"/>
    <x v="0"/>
    <s v="Corporate"/>
    <n v="5"/>
    <n v="0"/>
    <s v="Cash on Delivery"/>
    <s v="No"/>
    <n v="5"/>
    <s v="USB-C Hub"/>
    <x v="3"/>
    <n v="1599"/>
    <s v="OK"/>
    <n v="870"/>
    <n v="7995"/>
    <n v="0"/>
    <n v="7995"/>
    <n v="4350"/>
    <n v="3645"/>
    <n v="0.45590994371482174"/>
    <n v="8"/>
    <x v="0"/>
    <s v="Low"/>
  </r>
  <r>
    <s v="ORD-5206"/>
    <d v="2025-01-19T00:00:00"/>
    <d v="2025-01-20T00:00:00"/>
    <x v="0"/>
    <x v="1"/>
    <s v="P110"/>
    <x v="1"/>
    <s v="Consumer"/>
    <n v="4"/>
    <n v="0.05"/>
    <s v="UPI"/>
    <s v="No"/>
    <n v="3"/>
    <s v="LED Desk Lamp"/>
    <x v="0"/>
    <n v="1999"/>
    <s v="OK"/>
    <n v="1050"/>
    <n v="7996"/>
    <n v="399.8"/>
    <n v="7596.2"/>
    <n v="4200"/>
    <n v="3396.2"/>
    <n v="0.44709196703614962"/>
    <n v="1"/>
    <x v="11"/>
    <s v="Low"/>
  </r>
  <r>
    <s v="ORD-5207"/>
    <d v="2025-01-27T00:00:00"/>
    <d v="2025-01-28T00:00:00"/>
    <x v="1"/>
    <x v="2"/>
    <s v="P111"/>
    <x v="2"/>
    <s v="Consumer"/>
    <n v="4"/>
    <n v="0.1"/>
    <s v="Credit Card"/>
    <s v="No"/>
    <n v="3"/>
    <s v="Bluetooth Speaker"/>
    <x v="1"/>
    <n v="2799"/>
    <s v="OK"/>
    <n v="1650"/>
    <n v="11196"/>
    <n v="1119.6000000000001"/>
    <n v="10076.4"/>
    <n v="6600"/>
    <n v="3476.3999999999996"/>
    <n v="0.34500416815529356"/>
    <n v="1"/>
    <x v="11"/>
    <s v="Medium"/>
  </r>
  <r>
    <s v="ORD-5208"/>
    <d v="2025-02-13T00:00:00"/>
    <d v="2025-02-14T00:00:00"/>
    <x v="2"/>
    <x v="3"/>
    <s v="P108"/>
    <x v="2"/>
    <s v="Corporate"/>
    <n v="1"/>
    <n v="0"/>
    <s v="UPI"/>
    <s v="No"/>
    <n v="4"/>
    <s v="SSD 1TB"/>
    <x v="2"/>
    <n v="6999"/>
    <s v="OK"/>
    <n v="4900"/>
    <n v="6999"/>
    <n v="0"/>
    <n v="6999"/>
    <n v="4900"/>
    <n v="2099"/>
    <n v="0.29989998571224463"/>
    <n v="1"/>
    <x v="5"/>
    <s v="Low"/>
  </r>
  <r>
    <s v="ORD-5209"/>
    <d v="2025-03-04T00:00:00"/>
    <d v="2025-03-05T00:00:00"/>
    <x v="3"/>
    <x v="4"/>
    <s v="P111"/>
    <x v="0"/>
    <s v="Small Business"/>
    <n v="1"/>
    <n v="0"/>
    <s v="UPI"/>
    <s v="No"/>
    <n v="5"/>
    <s v="Bluetooth Speaker"/>
    <x v="1"/>
    <n v="2799"/>
    <s v="OK"/>
    <n v="1650"/>
    <n v="2799"/>
    <n v="0"/>
    <n v="2799"/>
    <n v="1650"/>
    <n v="1149"/>
    <n v="0.41050375133976419"/>
    <n v="1"/>
    <x v="8"/>
    <s v="Low"/>
  </r>
  <r>
    <s v="ORD-5210"/>
    <d v="2025-10-13T00:00:00"/>
    <d v="2025-10-17T00:00:00"/>
    <x v="4"/>
    <x v="5"/>
    <s v="P105"/>
    <x v="2"/>
    <s v="Consumer"/>
    <n v="3"/>
    <n v="0.05"/>
    <s v="Cash on Delivery"/>
    <s v="No"/>
    <n v="3"/>
    <s v="24-inch Monitor"/>
    <x v="4"/>
    <n v="12999"/>
    <s v="OK"/>
    <n v="9100"/>
    <n v="38997"/>
    <n v="1949.8500000000001"/>
    <n v="37047.15"/>
    <n v="27300"/>
    <n v="9747.1500000000015"/>
    <n v="0.26310121021455096"/>
    <n v="4"/>
    <x v="10"/>
    <s v="High"/>
  </r>
  <r>
    <s v="ORD-5211"/>
    <d v="2025-02-27T00:00:00"/>
    <d v="2025-02-28T00:00:00"/>
    <x v="0"/>
    <x v="0"/>
    <s v="P101"/>
    <x v="2"/>
    <s v="Consumer"/>
    <n v="5"/>
    <n v="0.1"/>
    <s v="Debit Card"/>
    <s v="No"/>
    <n v="4"/>
    <s v="Wireless Mouse"/>
    <x v="3"/>
    <n v="799"/>
    <s v="OK"/>
    <n v="420"/>
    <n v="3995"/>
    <n v="399.5"/>
    <n v="3595.5"/>
    <n v="2100"/>
    <n v="1495.5"/>
    <n v="0.41593658740091782"/>
    <n v="1"/>
    <x v="5"/>
    <s v="Low"/>
  </r>
  <r>
    <s v="ORD-5212"/>
    <d v="2025-09-06T00:00:00"/>
    <d v="2025-09-10T00:00:00"/>
    <x v="1"/>
    <x v="1"/>
    <s v="P105"/>
    <x v="1"/>
    <s v="Consumer"/>
    <n v="5"/>
    <n v="0.15"/>
    <s v="Cash on Delivery"/>
    <s v="No"/>
    <n v="4"/>
    <s v="24-inch Monitor"/>
    <x v="4"/>
    <n v="12999"/>
    <s v="OK"/>
    <n v="9100"/>
    <n v="64995"/>
    <n v="9749.25"/>
    <n v="55245.75"/>
    <n v="45500"/>
    <n v="9745.75"/>
    <n v="0.17640723494567456"/>
    <n v="4"/>
    <x v="9"/>
    <s v="High"/>
  </r>
  <r>
    <s v="ORD-5213"/>
    <d v="2025-06-21T00:00:00"/>
    <d v="2025-06-22T00:00:00"/>
    <x v="2"/>
    <x v="2"/>
    <s v="P103"/>
    <x v="3"/>
    <s v="Small Business"/>
    <n v="5"/>
    <n v="0"/>
    <s v="UPI"/>
    <s v="No"/>
    <n v="3"/>
    <s v="HD Webcam"/>
    <x v="3"/>
    <n v="2899"/>
    <s v="OK"/>
    <n v="1700"/>
    <n v="14495"/>
    <n v="0"/>
    <n v="14495"/>
    <n v="8500"/>
    <n v="5995"/>
    <n v="0.41359089341152122"/>
    <n v="1"/>
    <x v="3"/>
    <s v="Medium"/>
  </r>
  <r>
    <s v="ORD-5214"/>
    <d v="2025-09-21T00:00:00"/>
    <d v="2025-09-28T00:00:00"/>
    <x v="3"/>
    <x v="3"/>
    <s v="P105"/>
    <x v="3"/>
    <s v="Small Business"/>
    <n v="3"/>
    <n v="0.15"/>
    <s v="UPI"/>
    <s v="No"/>
    <n v="4"/>
    <s v="24-inch Monitor"/>
    <x v="4"/>
    <n v="12999"/>
    <s v="OK"/>
    <n v="9100"/>
    <n v="38997"/>
    <n v="5849.55"/>
    <n v="33147.449999999997"/>
    <n v="27300"/>
    <n v="5847.4499999999971"/>
    <n v="0.17640723494567448"/>
    <n v="7"/>
    <x v="9"/>
    <s v="High"/>
  </r>
  <r>
    <s v="ORD-5215"/>
    <d v="2025-09-23T00:00:00"/>
    <d v="2025-10-01T00:00:00"/>
    <x v="4"/>
    <x v="4"/>
    <s v="P102"/>
    <x v="2"/>
    <s v="Consumer"/>
    <n v="3"/>
    <n v="0"/>
    <s v="UPI"/>
    <s v="No"/>
    <n v="4"/>
    <s v="Mechanical Keyboard"/>
    <x v="3"/>
    <n v="2499"/>
    <s v="OK"/>
    <n v="1450"/>
    <n v="7497"/>
    <n v="0"/>
    <n v="7497"/>
    <n v="4350"/>
    <n v="3147"/>
    <n v="0.41976790716286516"/>
    <n v="8"/>
    <x v="9"/>
    <s v="Low"/>
  </r>
  <r>
    <s v="ORD-5216"/>
    <d v="2025-04-20T00:00:00"/>
    <d v="2025-04-21T00:00:00"/>
    <x v="0"/>
    <x v="5"/>
    <s v="P106"/>
    <x v="3"/>
    <s v="Consumer"/>
    <n v="2"/>
    <n v="0"/>
    <s v="Credit Card"/>
    <s v="No"/>
    <n v="5"/>
    <s v="Wireless Headset"/>
    <x v="1"/>
    <n v="3499"/>
    <s v="OK"/>
    <n v="2100"/>
    <n v="6998"/>
    <n v="0"/>
    <n v="6998"/>
    <n v="4200"/>
    <n v="2798"/>
    <n v="0.3998285224349814"/>
    <n v="1"/>
    <x v="6"/>
    <s v="Low"/>
  </r>
  <r>
    <s v="ORD-5217"/>
    <d v="2025-12-01T00:00:00"/>
    <d v="2025-12-05T00:00:00"/>
    <x v="1"/>
    <x v="0"/>
    <s v="P108"/>
    <x v="0"/>
    <s v="Consumer"/>
    <n v="3"/>
    <n v="0.2"/>
    <s v="Cash on Delivery"/>
    <s v="Yes"/>
    <n v="3"/>
    <s v="SSD 1TB"/>
    <x v="2"/>
    <n v="6999"/>
    <s v="OK"/>
    <n v="4900"/>
    <n v="20997"/>
    <n v="4199.4000000000005"/>
    <n v="16797.599999999999"/>
    <n v="14700"/>
    <n v="2097.5999999999985"/>
    <n v="0.12487498214030568"/>
    <n v="4"/>
    <x v="4"/>
    <s v="Medium"/>
  </r>
  <r>
    <s v="ORD-5218"/>
    <d v="2025-11-07T00:00:00"/>
    <d v="2025-11-14T00:00:00"/>
    <x v="2"/>
    <x v="1"/>
    <s v="P111"/>
    <x v="0"/>
    <s v="Corporate"/>
    <n v="5"/>
    <n v="0.2"/>
    <s v="UPI"/>
    <s v="No"/>
    <n v="4"/>
    <s v="Bluetooth Speaker"/>
    <x v="1"/>
    <n v="2799"/>
    <s v="OK"/>
    <n v="1650"/>
    <n v="13995"/>
    <n v="2799"/>
    <n v="11196"/>
    <n v="8250"/>
    <n v="2946"/>
    <n v="0.26312968917470525"/>
    <n v="7"/>
    <x v="1"/>
    <s v="Medium"/>
  </r>
  <r>
    <s v="ORD-5219"/>
    <d v="2025-01-20T00:00:00"/>
    <d v="2025-01-28T00:00:00"/>
    <x v="3"/>
    <x v="2"/>
    <s v="P107"/>
    <x v="3"/>
    <s v="Corporate"/>
    <n v="2"/>
    <n v="0.2"/>
    <s v="Cash on Delivery"/>
    <s v="No"/>
    <n v="4"/>
    <s v="Laptop Stand"/>
    <x v="3"/>
    <n v="1899"/>
    <s v="OK"/>
    <n v="980"/>
    <n v="3798"/>
    <n v="759.6"/>
    <n v="3038.4"/>
    <n v="1960"/>
    <n v="1078.4000000000001"/>
    <n v="0.35492364402317012"/>
    <n v="8"/>
    <x v="11"/>
    <s v="Low"/>
  </r>
  <r>
    <s v="ORD-5220"/>
    <d v="2025-03-10T00:00:00"/>
    <d v="2025-03-18T00:00:00"/>
    <x v="4"/>
    <x v="3"/>
    <s v="P102"/>
    <x v="1"/>
    <s v="Consumer"/>
    <n v="1"/>
    <n v="0.15"/>
    <s v="Debit Card"/>
    <s v="No"/>
    <n v="5"/>
    <s v="Mechanical Keyboard"/>
    <x v="3"/>
    <n v="2499"/>
    <s v="OK"/>
    <n v="1450"/>
    <n v="2499"/>
    <n v="374.84999999999997"/>
    <n v="2124.15"/>
    <n v="1450"/>
    <n v="674.15000000000009"/>
    <n v="0.31737400842690022"/>
    <n v="8"/>
    <x v="8"/>
    <s v="Low"/>
  </r>
  <r>
    <s v="ORD-5221"/>
    <d v="2025-06-14T00:00:00"/>
    <d v="2025-06-17T00:00:00"/>
    <x v="0"/>
    <x v="4"/>
    <s v="P105"/>
    <x v="1"/>
    <s v="Corporate"/>
    <n v="1"/>
    <n v="0.05"/>
    <s v="Credit Card"/>
    <s v="No"/>
    <n v="3"/>
    <s v="24-inch Monitor"/>
    <x v="4"/>
    <n v="12999"/>
    <s v="OK"/>
    <n v="9100"/>
    <n v="12999"/>
    <n v="649.95000000000005"/>
    <n v="12349.05"/>
    <n v="9100"/>
    <n v="3249.0499999999993"/>
    <n v="0.26310121021455085"/>
    <n v="3"/>
    <x v="3"/>
    <s v="Medium"/>
  </r>
  <r>
    <s v="ORD-5222"/>
    <d v="2025-07-06T00:00:00"/>
    <d v="2025-07-07T00:00:00"/>
    <x v="1"/>
    <x v="5"/>
    <s v="P102"/>
    <x v="2"/>
    <s v="Corporate"/>
    <n v="1"/>
    <n v="0.1"/>
    <s v="Net Banking"/>
    <s v="No"/>
    <n v="4"/>
    <s v="Mechanical Keyboard"/>
    <x v="3"/>
    <n v="2499"/>
    <s v="OK"/>
    <n v="1450"/>
    <n v="2499"/>
    <n v="249.9"/>
    <n v="2249.1"/>
    <n v="1450"/>
    <n v="799.09999999999991"/>
    <n v="0.35529767462540568"/>
    <n v="1"/>
    <x v="2"/>
    <s v="Low"/>
  </r>
  <r>
    <s v="ORD-5223"/>
    <d v="2025-09-24T00:00:00"/>
    <d v="2025-09-29T00:00:00"/>
    <x v="2"/>
    <x v="0"/>
    <s v="P103"/>
    <x v="3"/>
    <s v="Small Business"/>
    <n v="3"/>
    <n v="0.1"/>
    <s v="Net Banking"/>
    <s v="No"/>
    <n v="4"/>
    <s v="HD Webcam"/>
    <x v="3"/>
    <n v="2899"/>
    <s v="OK"/>
    <n v="1700"/>
    <n v="8697"/>
    <n v="869.7"/>
    <n v="7827.3"/>
    <n v="5100"/>
    <n v="2727.3"/>
    <n v="0.34843432601280139"/>
    <n v="5"/>
    <x v="9"/>
    <s v="Low"/>
  </r>
  <r>
    <s v="ORD-5224"/>
    <d v="2025-05-27T00:00:00"/>
    <d v="2025-06-02T00:00:00"/>
    <x v="3"/>
    <x v="1"/>
    <s v="P106"/>
    <x v="3"/>
    <s v="Consumer"/>
    <n v="2"/>
    <n v="0.15"/>
    <s v="Cash on Delivery"/>
    <s v="No"/>
    <n v="5"/>
    <s v="Wireless Headset"/>
    <x v="1"/>
    <n v="3499"/>
    <s v="OK"/>
    <n v="2100"/>
    <n v="6998"/>
    <n v="1049.7"/>
    <n v="5948.3"/>
    <n v="4200"/>
    <n v="1748.3000000000002"/>
    <n v="0.29391590874703699"/>
    <n v="6"/>
    <x v="0"/>
    <s v="Low"/>
  </r>
  <r>
    <s v="ORD-5225"/>
    <d v="2025-11-18T00:00:00"/>
    <d v="2025-11-21T00:00:00"/>
    <x v="4"/>
    <x v="2"/>
    <s v="P111"/>
    <x v="0"/>
    <s v="Small Business"/>
    <n v="1"/>
    <n v="0"/>
    <s v="Cash on Delivery"/>
    <s v="No"/>
    <n v="5"/>
    <s v="Bluetooth Speaker"/>
    <x v="1"/>
    <n v="2799"/>
    <s v="OK"/>
    <n v="1650"/>
    <n v="2799"/>
    <n v="0"/>
    <n v="2799"/>
    <n v="1650"/>
    <n v="1149"/>
    <n v="0.41050375133976419"/>
    <n v="3"/>
    <x v="1"/>
    <s v="Low"/>
  </r>
  <r>
    <s v="ORD-5226"/>
    <d v="2025-11-21T00:00:00"/>
    <d v="2025-11-24T00:00:00"/>
    <x v="0"/>
    <x v="3"/>
    <s v="P107"/>
    <x v="2"/>
    <s v="Consumer"/>
    <n v="3"/>
    <n v="0.1"/>
    <s v="Cash on Delivery"/>
    <s v="No"/>
    <n v="3"/>
    <s v="Laptop Stand"/>
    <x v="3"/>
    <n v="1899"/>
    <s v="OK"/>
    <n v="980"/>
    <n v="5697"/>
    <n v="569.70000000000005"/>
    <n v="5127.3"/>
    <n v="2940"/>
    <n v="2187.3000000000002"/>
    <n v="0.42659879468726231"/>
    <n v="3"/>
    <x v="1"/>
    <s v="Low"/>
  </r>
  <r>
    <s v="ORD-5227"/>
    <d v="2025-07-05T00:00:00"/>
    <d v="2025-07-08T00:00:00"/>
    <x v="1"/>
    <x v="4"/>
    <s v="P101"/>
    <x v="2"/>
    <s v="Small Business"/>
    <n v="2"/>
    <n v="0.15"/>
    <s v="Cash on Delivery"/>
    <s v="No"/>
    <n v="3"/>
    <s v="Wireless Mouse"/>
    <x v="3"/>
    <n v="799"/>
    <s v="OK"/>
    <n v="420"/>
    <n v="1598"/>
    <n v="239.7"/>
    <n v="1358.3"/>
    <n v="840"/>
    <n v="518.29999999999995"/>
    <n v="0.38157991607156"/>
    <n v="3"/>
    <x v="2"/>
    <s v="Low"/>
  </r>
  <r>
    <s v="ORD-5228"/>
    <d v="2025-01-31T00:00:00"/>
    <d v="2025-02-01T00:00:00"/>
    <x v="2"/>
    <x v="5"/>
    <s v="P101"/>
    <x v="3"/>
    <s v="Corporate"/>
    <n v="4"/>
    <n v="0"/>
    <s v="Debit Card"/>
    <s v="Yes"/>
    <n v="1"/>
    <s v="Wireless Mouse"/>
    <x v="3"/>
    <n v="799"/>
    <s v="OK"/>
    <n v="420"/>
    <n v="3196"/>
    <n v="0"/>
    <n v="3196"/>
    <n v="1680"/>
    <n v="1516"/>
    <n v="0.47434292866082606"/>
    <n v="1"/>
    <x v="11"/>
    <s v="Low"/>
  </r>
  <r>
    <s v="ORD-5229"/>
    <d v="2025-05-08T00:00:00"/>
    <d v="2025-05-14T00:00:00"/>
    <x v="3"/>
    <x v="0"/>
    <s v="P103"/>
    <x v="1"/>
    <s v="Corporate"/>
    <n v="2"/>
    <n v="0"/>
    <s v="Debit Card"/>
    <s v="No"/>
    <n v="4"/>
    <s v="HD Webcam"/>
    <x v="3"/>
    <n v="2899"/>
    <s v="OK"/>
    <n v="1700"/>
    <n v="5798"/>
    <n v="0"/>
    <n v="5798"/>
    <n v="3400"/>
    <n v="2398"/>
    <n v="0.41359089341152122"/>
    <n v="6"/>
    <x v="0"/>
    <s v="Low"/>
  </r>
  <r>
    <s v="ORD-5230"/>
    <d v="2025-01-11T00:00:00"/>
    <d v="2025-01-12T00:00:00"/>
    <x v="4"/>
    <x v="1"/>
    <s v="P111"/>
    <x v="1"/>
    <s v="Small Business"/>
    <n v="5"/>
    <n v="0"/>
    <s v="Credit Card"/>
    <s v="No"/>
    <n v="4"/>
    <s v="Bluetooth Speaker"/>
    <x v="1"/>
    <n v="2799"/>
    <s v="OK"/>
    <n v="1650"/>
    <n v="13995"/>
    <n v="0"/>
    <n v="13995"/>
    <n v="8250"/>
    <n v="5745"/>
    <n v="0.41050375133976419"/>
    <n v="1"/>
    <x v="11"/>
    <s v="Medium"/>
  </r>
  <r>
    <s v="ORD-5231"/>
    <d v="2025-01-04T00:00:00"/>
    <d v="2025-01-10T00:00:00"/>
    <x v="0"/>
    <x v="2"/>
    <s v="P106"/>
    <x v="1"/>
    <s v="Corporate"/>
    <n v="4"/>
    <n v="0.15"/>
    <s v="Credit Card"/>
    <s v="No"/>
    <n v="5"/>
    <s v="Wireless Headset"/>
    <x v="1"/>
    <n v="3499"/>
    <s v="OK"/>
    <n v="2100"/>
    <n v="13996"/>
    <n v="2099.4"/>
    <n v="11896.6"/>
    <n v="8400"/>
    <n v="3496.6000000000004"/>
    <n v="0.29391590874703699"/>
    <n v="6"/>
    <x v="11"/>
    <s v="Medium"/>
  </r>
  <r>
    <s v="ORD-5232"/>
    <d v="2025-03-09T00:00:00"/>
    <d v="2025-03-14T00:00:00"/>
    <x v="1"/>
    <x v="3"/>
    <s v="P101"/>
    <x v="2"/>
    <s v="Consumer"/>
    <n v="5"/>
    <n v="0.2"/>
    <s v="Debit Card"/>
    <s v="No"/>
    <n v="3"/>
    <s v="Wireless Mouse"/>
    <x v="3"/>
    <n v="799"/>
    <s v="OK"/>
    <n v="420"/>
    <n v="3995"/>
    <n v="799"/>
    <n v="3196"/>
    <n v="2100"/>
    <n v="1096"/>
    <n v="0.34292866082603252"/>
    <n v="5"/>
    <x v="8"/>
    <s v="Low"/>
  </r>
  <r>
    <s v="ORD-5233"/>
    <d v="2025-12-07T00:00:00"/>
    <d v="2025-12-13T00:00:00"/>
    <x v="2"/>
    <x v="4"/>
    <s v="P112"/>
    <x v="3"/>
    <s v="Corporate"/>
    <n v="2"/>
    <n v="0"/>
    <s v="UPI"/>
    <s v="Yes"/>
    <n v="3"/>
    <s v="Portable HDD 2TB"/>
    <x v="2"/>
    <n v="5899"/>
    <s v="OK"/>
    <n v="4100"/>
    <n v="11798"/>
    <n v="0"/>
    <n v="11798"/>
    <n v="8200"/>
    <n v="3598"/>
    <n v="0.30496694354975418"/>
    <n v="6"/>
    <x v="4"/>
    <s v="Medium"/>
  </r>
  <r>
    <s v="ORD-5234"/>
    <d v="2025-10-24T00:00:00"/>
    <d v="2025-10-25T00:00:00"/>
    <x v="3"/>
    <x v="5"/>
    <s v="P102"/>
    <x v="0"/>
    <s v="Corporate"/>
    <n v="5"/>
    <n v="0"/>
    <s v="UPI"/>
    <s v="No"/>
    <n v="5"/>
    <s v="Mechanical Keyboard"/>
    <x v="3"/>
    <n v="2499"/>
    <s v="OK"/>
    <n v="1450"/>
    <n v="12495"/>
    <n v="0"/>
    <n v="12495"/>
    <n v="7250"/>
    <n v="5245"/>
    <n v="0.41976790716286516"/>
    <n v="1"/>
    <x v="10"/>
    <s v="Medium"/>
  </r>
  <r>
    <s v="ORD-5235"/>
    <d v="2025-08-26T00:00:00"/>
    <d v="2025-08-29T00:00:00"/>
    <x v="4"/>
    <x v="0"/>
    <s v="P108"/>
    <x v="2"/>
    <s v="Corporate"/>
    <n v="5"/>
    <n v="0.15"/>
    <s v="Cash on Delivery"/>
    <s v="No"/>
    <n v="4"/>
    <s v="SSD 1TB"/>
    <x v="2"/>
    <n v="6999"/>
    <s v="OK"/>
    <n v="4900"/>
    <n v="34995"/>
    <n v="5249.25"/>
    <n v="29745.75"/>
    <n v="24500"/>
    <n v="5245.75"/>
    <n v="0.17635292436734659"/>
    <n v="3"/>
    <x v="7"/>
    <s v="High"/>
  </r>
  <r>
    <s v="ORD-5236"/>
    <d v="2025-09-10T00:00:00"/>
    <d v="2025-09-18T00:00:00"/>
    <x v="0"/>
    <x v="1"/>
    <s v="P102"/>
    <x v="3"/>
    <s v="Consumer"/>
    <n v="2"/>
    <n v="0.1"/>
    <s v="UPI"/>
    <s v="No"/>
    <n v="5"/>
    <s v="Mechanical Keyboard"/>
    <x v="3"/>
    <n v="2499"/>
    <s v="OK"/>
    <n v="1450"/>
    <n v="4998"/>
    <n v="499.8"/>
    <n v="4498.2"/>
    <n v="2900"/>
    <n v="1598.1999999999998"/>
    <n v="0.35529767462540568"/>
    <n v="8"/>
    <x v="9"/>
    <s v="Low"/>
  </r>
  <r>
    <s v="ORD-5237"/>
    <d v="2025-11-16T00:00:00"/>
    <d v="2025-11-22T00:00:00"/>
    <x v="1"/>
    <x v="2"/>
    <s v="P103"/>
    <x v="0"/>
    <s v="Corporate"/>
    <n v="5"/>
    <n v="0.2"/>
    <s v="UPI"/>
    <s v="No"/>
    <n v="3"/>
    <s v="HD Webcam"/>
    <x v="3"/>
    <n v="2899"/>
    <s v="OK"/>
    <n v="1700"/>
    <n v="14495"/>
    <n v="2899"/>
    <n v="11596"/>
    <n v="8500"/>
    <n v="3096"/>
    <n v="0.2669886167644015"/>
    <n v="6"/>
    <x v="1"/>
    <s v="Medium"/>
  </r>
  <r>
    <s v="ORD-5238"/>
    <d v="2025-08-03T00:00:00"/>
    <d v="2025-08-06T00:00:00"/>
    <x v="2"/>
    <x v="3"/>
    <s v="P101"/>
    <x v="3"/>
    <s v="Consumer"/>
    <n v="1"/>
    <n v="0"/>
    <s v="UPI"/>
    <s v="No"/>
    <n v="3"/>
    <s v="Wireless Mouse"/>
    <x v="3"/>
    <n v="799"/>
    <s v="OK"/>
    <n v="420"/>
    <n v="799"/>
    <n v="0"/>
    <n v="799"/>
    <n v="420"/>
    <n v="379"/>
    <n v="0.47434292866082606"/>
    <n v="3"/>
    <x v="7"/>
    <s v="Low"/>
  </r>
  <r>
    <s v="ORD-5239"/>
    <d v="2025-06-06T00:00:00"/>
    <d v="2025-06-11T00:00:00"/>
    <x v="3"/>
    <x v="4"/>
    <s v="P103"/>
    <x v="0"/>
    <s v="Consumer"/>
    <n v="1"/>
    <n v="0.2"/>
    <s v="Cash on Delivery"/>
    <s v="No"/>
    <n v="5"/>
    <s v="HD Webcam"/>
    <x v="3"/>
    <n v="2899"/>
    <s v="OK"/>
    <n v="1700"/>
    <n v="2899"/>
    <n v="579.80000000000007"/>
    <n v="2319.1999999999998"/>
    <n v="1700"/>
    <n v="619.19999999999982"/>
    <n v="0.26698861676440144"/>
    <n v="5"/>
    <x v="3"/>
    <s v="Low"/>
  </r>
  <r>
    <s v="ORD-5240"/>
    <d v="2025-09-01T00:00:00"/>
    <d v="2025-09-05T00:00:00"/>
    <x v="4"/>
    <x v="5"/>
    <s v="P104"/>
    <x v="1"/>
    <s v="Small Business"/>
    <n v="3"/>
    <n v="0.15"/>
    <s v="Credit Card"/>
    <s v="No"/>
    <n v="4"/>
    <s v="USB-C Hub"/>
    <x v="3"/>
    <n v="1599"/>
    <s v="OK"/>
    <n v="870"/>
    <n v="4797"/>
    <n v="719.55"/>
    <n v="4077.45"/>
    <n v="2610"/>
    <n v="1467.4499999999998"/>
    <n v="0.35989405142920206"/>
    <n v="4"/>
    <x v="9"/>
    <s v="Low"/>
  </r>
  <r>
    <s v="ORD-5241"/>
    <d v="2025-03-13T00:00:00"/>
    <d v="2025-03-16T00:00:00"/>
    <x v="0"/>
    <x v="0"/>
    <s v="P105"/>
    <x v="0"/>
    <s v="Corporate"/>
    <n v="5"/>
    <n v="0.1"/>
    <s v="UPI"/>
    <s v="No"/>
    <n v="3"/>
    <s v="24-inch Monitor"/>
    <x v="4"/>
    <n v="12999"/>
    <s v="OK"/>
    <n v="9100"/>
    <n v="64995"/>
    <n v="6499.5"/>
    <n v="58495.5"/>
    <n v="45500"/>
    <n v="12995.5"/>
    <n v="0.22216238855980375"/>
    <n v="3"/>
    <x v="8"/>
    <s v="High"/>
  </r>
  <r>
    <s v="ORD-5242"/>
    <d v="2025-05-01T00:00:00"/>
    <d v="2025-05-07T00:00:00"/>
    <x v="5"/>
    <x v="1"/>
    <s v="P110"/>
    <x v="3"/>
    <s v="Small Business"/>
    <n v="3"/>
    <n v="0"/>
    <s v="UPI"/>
    <s v="No"/>
    <n v="5"/>
    <s v="LED Desk Lamp"/>
    <x v="0"/>
    <n v="1999"/>
    <s v="OK"/>
    <n v="1050"/>
    <n v="5997"/>
    <n v="0"/>
    <n v="5997"/>
    <n v="3150"/>
    <n v="2847"/>
    <n v="0.47473736868434219"/>
    <n v="6"/>
    <x v="0"/>
    <s v="Low"/>
  </r>
  <r>
    <s v="ORD-5243"/>
    <d v="2025-05-28T00:00:00"/>
    <d v="2025-06-05T00:00:00"/>
    <x v="2"/>
    <x v="2"/>
    <s v="P111"/>
    <x v="2"/>
    <s v="Consumer"/>
    <n v="1"/>
    <n v="0"/>
    <s v="Net Banking"/>
    <s v="No"/>
    <n v="5"/>
    <s v="Bluetooth Speaker"/>
    <x v="1"/>
    <n v="2799"/>
    <s v="OK"/>
    <n v="1650"/>
    <n v="2799"/>
    <n v="0"/>
    <n v="2799"/>
    <n v="1650"/>
    <n v="1149"/>
    <n v="0.41050375133976419"/>
    <n v="8"/>
    <x v="0"/>
    <s v="Low"/>
  </r>
  <r>
    <s v="ORD-5244"/>
    <d v="2025-08-31T00:00:00"/>
    <d v="2025-09-03T00:00:00"/>
    <x v="3"/>
    <x v="3"/>
    <s v="P105"/>
    <x v="2"/>
    <s v="Corporate"/>
    <n v="1"/>
    <n v="0.1"/>
    <s v="UPI"/>
    <s v="No"/>
    <n v="3"/>
    <s v="24-inch Monitor"/>
    <x v="4"/>
    <n v="12999"/>
    <s v="OK"/>
    <n v="9100"/>
    <n v="12999"/>
    <n v="1299.9000000000001"/>
    <n v="11699.1"/>
    <n v="9100"/>
    <n v="2599.1000000000004"/>
    <n v="0.22216238855980378"/>
    <n v="3"/>
    <x v="7"/>
    <s v="Medium"/>
  </r>
  <r>
    <s v="ORD-5245"/>
    <d v="2025-08-17T00:00:00"/>
    <d v="2025-08-24T00:00:00"/>
    <x v="4"/>
    <x v="4"/>
    <s v="P108"/>
    <x v="2"/>
    <s v="Corporate"/>
    <n v="3"/>
    <n v="0"/>
    <s v="UPI"/>
    <s v="No"/>
    <n v="3"/>
    <s v="SSD 1TB"/>
    <x v="2"/>
    <n v="6999"/>
    <s v="OK"/>
    <n v="4900"/>
    <n v="20997"/>
    <n v="0"/>
    <n v="20997"/>
    <n v="14700"/>
    <n v="6297"/>
    <n v="0.29989998571224463"/>
    <n v="7"/>
    <x v="7"/>
    <s v="High"/>
  </r>
  <r>
    <s v="ORD-5246"/>
    <d v="2025-07-19T00:00:00"/>
    <d v="2025-07-22T00:00:00"/>
    <x v="0"/>
    <x v="5"/>
    <s v="P105"/>
    <x v="0"/>
    <s v="Corporate"/>
    <n v="3"/>
    <n v="0"/>
    <s v="UPI"/>
    <s v="No"/>
    <n v="3"/>
    <s v="24-inch Monitor"/>
    <x v="4"/>
    <n v="12999"/>
    <s v="OK"/>
    <n v="9100"/>
    <n v="38997"/>
    <n v="0"/>
    <n v="38997"/>
    <n v="27300"/>
    <n v="11697"/>
    <n v="0.29994614970382338"/>
    <n v="3"/>
    <x v="2"/>
    <s v="High"/>
  </r>
  <r>
    <s v="ORD-5247"/>
    <d v="2025-12-23T00:00:00"/>
    <d v="2025-12-30T00:00:00"/>
    <x v="1"/>
    <x v="0"/>
    <s v="P104"/>
    <x v="3"/>
    <s v="Corporate"/>
    <n v="3"/>
    <n v="0.1"/>
    <s v="Net Banking"/>
    <s v="No"/>
    <n v="4"/>
    <s v="USB-C Hub"/>
    <x v="3"/>
    <n v="1599"/>
    <s v="OK"/>
    <n v="870"/>
    <n v="4797"/>
    <n v="479.70000000000005"/>
    <n v="4317.3"/>
    <n v="2610"/>
    <n v="1707.3000000000002"/>
    <n v="0.39545549301646865"/>
    <n v="7"/>
    <x v="4"/>
    <s v="Low"/>
  </r>
  <r>
    <s v="ORD-5248"/>
    <d v="2025-04-13T00:00:00"/>
    <d v="2025-04-16T00:00:00"/>
    <x v="2"/>
    <x v="1"/>
    <s v="P104"/>
    <x v="2"/>
    <s v="Consumer"/>
    <n v="5"/>
    <n v="0.2"/>
    <s v="UPI"/>
    <s v="No"/>
    <n v="5"/>
    <s v="USB-C Hub"/>
    <x v="3"/>
    <n v="1599"/>
    <s v="OK"/>
    <n v="870"/>
    <n v="7995"/>
    <n v="1599"/>
    <n v="6396"/>
    <n v="4350"/>
    <n v="2046"/>
    <n v="0.31988742964352718"/>
    <n v="3"/>
    <x v="6"/>
    <s v="Low"/>
  </r>
  <r>
    <s v="ORD-5249"/>
    <d v="2025-02-26T00:00:00"/>
    <d v="2025-03-04T00:00:00"/>
    <x v="3"/>
    <x v="2"/>
    <s v="P106"/>
    <x v="3"/>
    <s v="Consumer"/>
    <n v="1"/>
    <n v="0.15"/>
    <s v="UPI"/>
    <s v="No"/>
    <n v="4"/>
    <s v="Wireless Headset"/>
    <x v="1"/>
    <n v="3499"/>
    <s v="OK"/>
    <n v="2100"/>
    <n v="3499"/>
    <n v="524.85"/>
    <n v="2974.15"/>
    <n v="2100"/>
    <n v="874.15000000000009"/>
    <n v="0.29391590874703699"/>
    <n v="6"/>
    <x v="5"/>
    <s v="Low"/>
  </r>
  <r>
    <s v="ORD-5250"/>
    <d v="2025-04-29T00:00:00"/>
    <d v="2025-05-01T00:00:00"/>
    <x v="4"/>
    <x v="3"/>
    <s v="P109"/>
    <x v="0"/>
    <s v="Consumer"/>
    <n v="5"/>
    <n v="0"/>
    <s v="Net Banking"/>
    <s v="No"/>
    <n v="5"/>
    <s v="Ergonomic Chair"/>
    <x v="0"/>
    <n v="10499"/>
    <s v="OK"/>
    <n v="7600"/>
    <n v="52495"/>
    <n v="0"/>
    <n v="52495"/>
    <n v="38000"/>
    <n v="14495"/>
    <n v="0.27612153538432233"/>
    <n v="2"/>
    <x v="6"/>
    <s v="High"/>
  </r>
  <r>
    <s v="ORD-5251"/>
    <d v="2025-05-11T00:00:00"/>
    <d v="2025-05-14T00:00:00"/>
    <x v="0"/>
    <x v="4"/>
    <s v="P106"/>
    <x v="3"/>
    <s v="Consumer"/>
    <n v="1"/>
    <n v="0"/>
    <s v="Net Banking"/>
    <s v="No"/>
    <n v="3"/>
    <s v="Wireless Headset"/>
    <x v="1"/>
    <n v="3499"/>
    <s v="OK"/>
    <n v="2100"/>
    <n v="3499"/>
    <n v="0"/>
    <n v="3499"/>
    <n v="2100"/>
    <n v="1399"/>
    <n v="0.3998285224349814"/>
    <n v="3"/>
    <x v="0"/>
    <s v="Low"/>
  </r>
  <r>
    <s v="ORD-5252"/>
    <d v="2025-12-04T00:00:00"/>
    <d v="2025-12-12T00:00:00"/>
    <x v="1"/>
    <x v="5"/>
    <s v="P107"/>
    <x v="2"/>
    <s v="Corporate"/>
    <n v="2"/>
    <n v="0"/>
    <s v="Debit Card"/>
    <s v="No"/>
    <n v="4"/>
    <s v="Laptop Stand"/>
    <x v="3"/>
    <n v="1899"/>
    <s v="OK"/>
    <n v="980"/>
    <n v="3798"/>
    <n v="0"/>
    <n v="3798"/>
    <n v="1960"/>
    <n v="1838"/>
    <n v="0.48393891521853605"/>
    <n v="8"/>
    <x v="4"/>
    <s v="Low"/>
  </r>
  <r>
    <s v="ORD-5253"/>
    <d v="2025-08-09T00:00:00"/>
    <d v="2025-08-15T00:00:00"/>
    <x v="2"/>
    <x v="0"/>
    <s v="P110"/>
    <x v="1"/>
    <s v="Small Business"/>
    <n v="2"/>
    <n v="0.05"/>
    <s v="Cash on Delivery"/>
    <s v="No"/>
    <n v="3"/>
    <s v="LED Desk Lamp"/>
    <x v="0"/>
    <n v="1999"/>
    <s v="OK"/>
    <n v="1050"/>
    <n v="3998"/>
    <n v="199.9"/>
    <n v="3798.1"/>
    <n v="2100"/>
    <n v="1698.1"/>
    <n v="0.44709196703614962"/>
    <n v="6"/>
    <x v="7"/>
    <s v="Low"/>
  </r>
  <r>
    <s v="ORD-5254"/>
    <d v="2025-03-14T00:00:00"/>
    <d v="2025-03-16T00:00:00"/>
    <x v="3"/>
    <x v="1"/>
    <s v="P104"/>
    <x v="1"/>
    <s v="Consumer"/>
    <n v="3"/>
    <n v="0.15"/>
    <s v="UPI"/>
    <s v="No"/>
    <n v="5"/>
    <s v="USB-C Hub"/>
    <x v="3"/>
    <n v="1599"/>
    <s v="OK"/>
    <n v="870"/>
    <n v="4797"/>
    <n v="719.55"/>
    <n v="4077.45"/>
    <n v="2610"/>
    <n v="1467.4499999999998"/>
    <n v="0.35989405142920206"/>
    <n v="2"/>
    <x v="8"/>
    <s v="Low"/>
  </r>
  <r>
    <s v="ORD-5255"/>
    <d v="2025-10-16T00:00:00"/>
    <d v="2025-10-18T00:00:00"/>
    <x v="4"/>
    <x v="2"/>
    <s v="P106"/>
    <x v="2"/>
    <s v="Small Business"/>
    <n v="3"/>
    <n v="0.1"/>
    <s v="Cash on Delivery"/>
    <s v="No"/>
    <n v="4"/>
    <s v="Wireless Headset"/>
    <x v="1"/>
    <n v="3499"/>
    <s v="OK"/>
    <n v="2100"/>
    <n v="10497"/>
    <n v="1049.7"/>
    <n v="9447.2999999999993"/>
    <n v="6300"/>
    <n v="3147.2999999999993"/>
    <n v="0.33314280270553487"/>
    <n v="2"/>
    <x v="10"/>
    <s v="Low"/>
  </r>
  <r>
    <s v="ORD-5256"/>
    <d v="2025-02-03T00:00:00"/>
    <d v="2025-02-07T00:00:00"/>
    <x v="0"/>
    <x v="3"/>
    <s v="P101"/>
    <x v="3"/>
    <s v="Corporate"/>
    <n v="5"/>
    <n v="0.05"/>
    <s v="Credit Card"/>
    <s v="Yes"/>
    <n v="1"/>
    <s v="Wireless Mouse"/>
    <x v="3"/>
    <n v="799"/>
    <s v="OK"/>
    <n v="420"/>
    <n v="3995"/>
    <n v="199.75"/>
    <n v="3795.25"/>
    <n v="2100"/>
    <n v="1695.25"/>
    <n v="0.4466767670113958"/>
    <n v="4"/>
    <x v="5"/>
    <s v="Low"/>
  </r>
  <r>
    <s v="ORD-5257"/>
    <d v="2025-01-18T00:00:00"/>
    <d v="2025-01-22T00:00:00"/>
    <x v="1"/>
    <x v="4"/>
    <s v="P105"/>
    <x v="3"/>
    <s v="Consumer"/>
    <n v="5"/>
    <n v="0.1"/>
    <s v="Credit Card"/>
    <s v="No"/>
    <n v="4"/>
    <s v="24-inch Monitor"/>
    <x v="4"/>
    <n v="12999"/>
    <s v="OK"/>
    <n v="9100"/>
    <n v="64995"/>
    <n v="6499.5"/>
    <n v="58495.5"/>
    <n v="45500"/>
    <n v="12995.5"/>
    <n v="0.22216238855980375"/>
    <n v="4"/>
    <x v="11"/>
    <s v="High"/>
  </r>
  <r>
    <s v="ORD-5258"/>
    <d v="2025-10-08T00:00:00"/>
    <d v="2025-10-16T00:00:00"/>
    <x v="2"/>
    <x v="5"/>
    <s v="P111"/>
    <x v="2"/>
    <s v="Corporate"/>
    <n v="1"/>
    <n v="0.2"/>
    <s v="UPI"/>
    <s v="No"/>
    <n v="5"/>
    <s v="Bluetooth Speaker"/>
    <x v="1"/>
    <n v="2799"/>
    <s v="OK"/>
    <n v="1650"/>
    <n v="2799"/>
    <n v="559.80000000000007"/>
    <n v="2239.1999999999998"/>
    <n v="1650"/>
    <n v="589.19999999999982"/>
    <n v="0.26312968917470519"/>
    <n v="8"/>
    <x v="10"/>
    <s v="Low"/>
  </r>
  <r>
    <s v="ORD-5259"/>
    <d v="2025-06-07T00:00:00"/>
    <d v="2025-06-11T00:00:00"/>
    <x v="3"/>
    <x v="0"/>
    <s v="P103"/>
    <x v="1"/>
    <s v="Corporate"/>
    <n v="5"/>
    <n v="0.05"/>
    <s v="Credit Card"/>
    <s v="Yes"/>
    <n v="1"/>
    <s v="HD Webcam"/>
    <x v="3"/>
    <n v="2899"/>
    <s v="OK"/>
    <n v="1700"/>
    <n v="14495"/>
    <n v="724.75"/>
    <n v="13770.25"/>
    <n v="8500"/>
    <n v="5270.25"/>
    <n v="0.38272725622265391"/>
    <n v="4"/>
    <x v="3"/>
    <s v="Medium"/>
  </r>
  <r>
    <s v="ORD-5260"/>
    <d v="2025-09-02T00:00:00"/>
    <d v="2025-09-06T00:00:00"/>
    <x v="4"/>
    <x v="1"/>
    <s v="P110"/>
    <x v="3"/>
    <s v="Consumer"/>
    <n v="2"/>
    <n v="0.05"/>
    <s v="Cash on Delivery"/>
    <s v="No"/>
    <n v="4"/>
    <s v="LED Desk Lamp"/>
    <x v="0"/>
    <n v="1999"/>
    <s v="OK"/>
    <n v="1050"/>
    <n v="3998"/>
    <n v="199.9"/>
    <n v="3798.1"/>
    <n v="2100"/>
    <n v="1698.1"/>
    <n v="0.44709196703614962"/>
    <n v="4"/>
    <x v="9"/>
    <s v="Low"/>
  </r>
  <r>
    <s v="ORD-5261"/>
    <d v="2025-12-31T00:00:00"/>
    <d v="2026-01-06T00:00:00"/>
    <x v="0"/>
    <x v="2"/>
    <s v="P108"/>
    <x v="3"/>
    <s v="Consumer"/>
    <n v="1"/>
    <n v="0"/>
    <s v="UPI"/>
    <s v="No"/>
    <n v="5"/>
    <s v="SSD 1TB"/>
    <x v="2"/>
    <n v="6999"/>
    <s v="OK"/>
    <n v="4900"/>
    <n v="6999"/>
    <n v="0"/>
    <n v="6999"/>
    <n v="4900"/>
    <n v="2099"/>
    <n v="0.29989998571224463"/>
    <n v="6"/>
    <x v="4"/>
    <s v="Low"/>
  </r>
  <r>
    <s v="ORD-5262"/>
    <d v="2025-03-26T00:00:00"/>
    <d v="2025-04-03T00:00:00"/>
    <x v="1"/>
    <x v="3"/>
    <s v="P107"/>
    <x v="2"/>
    <s v="Small Business"/>
    <n v="1"/>
    <n v="0.1"/>
    <s v="Credit Card"/>
    <s v="No"/>
    <n v="5"/>
    <s v="Laptop Stand"/>
    <x v="3"/>
    <n v="1899"/>
    <s v="OK"/>
    <n v="980"/>
    <n v="1899"/>
    <n v="189.9"/>
    <n v="1709.1"/>
    <n v="980"/>
    <n v="729.09999999999991"/>
    <n v="0.42659879468726225"/>
    <n v="8"/>
    <x v="8"/>
    <s v="Low"/>
  </r>
  <r>
    <s v="ORD-5263"/>
    <d v="2025-12-20T00:00:00"/>
    <d v="2025-12-25T00:00:00"/>
    <x v="2"/>
    <x v="4"/>
    <s v="P102"/>
    <x v="0"/>
    <s v="Corporate"/>
    <n v="4"/>
    <n v="0.2"/>
    <s v="Credit Card"/>
    <s v="No"/>
    <n v="5"/>
    <s v="Mechanical Keyboard"/>
    <x v="3"/>
    <n v="2499"/>
    <s v="OK"/>
    <n v="1450"/>
    <n v="9996"/>
    <n v="1999.2"/>
    <n v="7996.8"/>
    <n v="5800"/>
    <n v="2196.8000000000002"/>
    <n v="0.27470988395358142"/>
    <n v="5"/>
    <x v="4"/>
    <s v="Low"/>
  </r>
  <r>
    <s v="ORD-5264"/>
    <d v="2025-02-08T00:00:00"/>
    <d v="2025-02-14T00:00:00"/>
    <x v="3"/>
    <x v="5"/>
    <s v="P112"/>
    <x v="2"/>
    <s v="Small Business"/>
    <n v="2"/>
    <n v="0"/>
    <s v="Credit Card"/>
    <s v="No"/>
    <n v="5"/>
    <s v="Portable HDD 2TB"/>
    <x v="2"/>
    <n v="5899"/>
    <s v="OK"/>
    <n v="4100"/>
    <n v="11798"/>
    <n v="0"/>
    <n v="11798"/>
    <n v="8200"/>
    <n v="3598"/>
    <n v="0.30496694354975418"/>
    <n v="6"/>
    <x v="5"/>
    <s v="Medium"/>
  </r>
  <r>
    <s v="ORD-5265"/>
    <d v="2025-08-07T00:00:00"/>
    <d v="2025-08-12T00:00:00"/>
    <x v="4"/>
    <x v="0"/>
    <s v="P107"/>
    <x v="2"/>
    <s v="Consumer"/>
    <n v="2"/>
    <n v="0.05"/>
    <s v="Cash on Delivery"/>
    <s v="No"/>
    <n v="4"/>
    <s v="Laptop Stand"/>
    <x v="3"/>
    <n v="1899"/>
    <s v="OK"/>
    <n v="980"/>
    <n v="3798"/>
    <n v="189.9"/>
    <n v="3608.1"/>
    <n v="1960"/>
    <n v="1648.1"/>
    <n v="0.45677780549319585"/>
    <n v="5"/>
    <x v="7"/>
    <s v="Low"/>
  </r>
  <r>
    <s v="ORD-5266"/>
    <d v="2025-03-26T00:00:00"/>
    <d v="2025-04-03T00:00:00"/>
    <x v="0"/>
    <x v="1"/>
    <s v="P108"/>
    <x v="1"/>
    <s v="Small Business"/>
    <n v="3"/>
    <n v="0"/>
    <s v="Debit Card"/>
    <s v="No"/>
    <n v="5"/>
    <s v="SSD 1TB"/>
    <x v="2"/>
    <n v="6999"/>
    <s v="OK"/>
    <n v="4900"/>
    <n v="20997"/>
    <n v="0"/>
    <n v="20997"/>
    <n v="14700"/>
    <n v="6297"/>
    <n v="0.29989998571224463"/>
    <n v="8"/>
    <x v="8"/>
    <s v="High"/>
  </r>
  <r>
    <s v="ORD-5267"/>
    <d v="2025-05-10T00:00:00"/>
    <d v="2025-05-11T00:00:00"/>
    <x v="1"/>
    <x v="2"/>
    <s v="P107"/>
    <x v="1"/>
    <s v="Small Business"/>
    <n v="1"/>
    <n v="0.1"/>
    <s v="Debit Card"/>
    <s v="No"/>
    <n v="5"/>
    <s v="Laptop Stand"/>
    <x v="3"/>
    <n v="1899"/>
    <s v="OK"/>
    <n v="980"/>
    <n v="1899"/>
    <n v="189.9"/>
    <n v="1709.1"/>
    <n v="980"/>
    <n v="729.09999999999991"/>
    <n v="0.42659879468726225"/>
    <n v="1"/>
    <x v="0"/>
    <s v="Low"/>
  </r>
  <r>
    <s v="ORD-5268"/>
    <d v="2025-06-12T00:00:00"/>
    <d v="2025-06-15T00:00:00"/>
    <x v="2"/>
    <x v="3"/>
    <s v="P103"/>
    <x v="2"/>
    <s v="Corporate"/>
    <n v="4"/>
    <n v="0"/>
    <s v="Net Banking"/>
    <s v="No"/>
    <n v="5"/>
    <s v="HD Webcam"/>
    <x v="3"/>
    <n v="2899"/>
    <s v="OK"/>
    <n v="1700"/>
    <n v="11596"/>
    <n v="0"/>
    <n v="11596"/>
    <n v="6800"/>
    <n v="4796"/>
    <n v="0.41359089341152122"/>
    <n v="3"/>
    <x v="3"/>
    <s v="Medium"/>
  </r>
  <r>
    <s v="ORD-5269"/>
    <d v="2025-05-05T00:00:00"/>
    <d v="2025-05-06T00:00:00"/>
    <x v="3"/>
    <x v="4"/>
    <s v="P104"/>
    <x v="0"/>
    <s v="Corporate"/>
    <n v="4"/>
    <n v="0.1"/>
    <s v="Debit Card"/>
    <s v="No"/>
    <n v="4"/>
    <s v="USB-C Hub"/>
    <x v="3"/>
    <n v="1599"/>
    <s v="OK"/>
    <n v="870"/>
    <n v="6396"/>
    <n v="639.6"/>
    <n v="5756.4"/>
    <n v="3480"/>
    <n v="2276.3999999999996"/>
    <n v="0.3954554930164686"/>
    <n v="1"/>
    <x v="0"/>
    <s v="Low"/>
  </r>
  <r>
    <s v="ORD-5270"/>
    <d v="2025-10-03T00:00:00"/>
    <d v="2025-10-09T00:00:00"/>
    <x v="4"/>
    <x v="5"/>
    <s v="P105"/>
    <x v="3"/>
    <s v="Consumer"/>
    <n v="4"/>
    <n v="0.2"/>
    <s v="Net Banking"/>
    <s v="No"/>
    <n v="5"/>
    <s v="24-inch Monitor"/>
    <x v="4"/>
    <n v="12999"/>
    <s v="OK"/>
    <n v="9100"/>
    <n v="51996"/>
    <n v="10399.200000000001"/>
    <n v="41596.800000000003"/>
    <n v="36400"/>
    <n v="5196.8000000000029"/>
    <n v="0.12493268712977927"/>
    <n v="6"/>
    <x v="10"/>
    <s v="High"/>
  </r>
  <r>
    <s v="ORD-5271"/>
    <d v="2025-03-26T00:00:00"/>
    <d v="2025-03-28T00:00:00"/>
    <x v="0"/>
    <x v="0"/>
    <s v="P108"/>
    <x v="1"/>
    <s v="Corporate"/>
    <n v="5"/>
    <n v="0.2"/>
    <s v="Net Banking"/>
    <s v="No"/>
    <n v="4"/>
    <s v="SSD 1TB"/>
    <x v="2"/>
    <n v="6999"/>
    <s v="OK"/>
    <n v="4900"/>
    <n v="34995"/>
    <n v="6999"/>
    <n v="27996"/>
    <n v="24500"/>
    <n v="3496"/>
    <n v="0.12487498214030576"/>
    <n v="2"/>
    <x v="8"/>
    <s v="High"/>
  </r>
  <r>
    <s v="ORD-5272"/>
    <d v="2025-08-04T00:00:00"/>
    <d v="2025-08-10T00:00:00"/>
    <x v="1"/>
    <x v="1"/>
    <s v="P107"/>
    <x v="0"/>
    <s v="Corporate"/>
    <n v="2"/>
    <n v="0"/>
    <s v="UPI"/>
    <s v="No"/>
    <n v="5"/>
    <s v="Laptop Stand"/>
    <x v="3"/>
    <n v="1899"/>
    <s v="OK"/>
    <n v="980"/>
    <n v="3798"/>
    <n v="0"/>
    <n v="3798"/>
    <n v="1960"/>
    <n v="1838"/>
    <n v="0.48393891521853605"/>
    <n v="6"/>
    <x v="7"/>
    <s v="Low"/>
  </r>
  <r>
    <s v="ORD-5273"/>
    <d v="2025-01-08T00:00:00"/>
    <d v="2025-01-09T00:00:00"/>
    <x v="2"/>
    <x v="2"/>
    <s v="P104"/>
    <x v="1"/>
    <s v="Consumer"/>
    <n v="5"/>
    <n v="0.2"/>
    <s v="Net Banking"/>
    <s v="No"/>
    <n v="5"/>
    <s v="USB-C Hub"/>
    <x v="3"/>
    <n v="1599"/>
    <s v="OK"/>
    <n v="870"/>
    <n v="7995"/>
    <n v="1599"/>
    <n v="6396"/>
    <n v="4350"/>
    <n v="2046"/>
    <n v="0.31988742964352718"/>
    <n v="1"/>
    <x v="11"/>
    <s v="Low"/>
  </r>
  <r>
    <s v="ORD-5274"/>
    <d v="2025-12-02T00:00:00"/>
    <d v="2025-12-07T00:00:00"/>
    <x v="3"/>
    <x v="3"/>
    <s v="P103"/>
    <x v="2"/>
    <s v="Corporate"/>
    <n v="1"/>
    <n v="0.1"/>
    <s v="UPI"/>
    <s v="No"/>
    <n v="3"/>
    <s v="HD Webcam"/>
    <x v="3"/>
    <n v="2899"/>
    <s v="OK"/>
    <n v="1700"/>
    <n v="2899"/>
    <n v="289.90000000000003"/>
    <n v="2609.1"/>
    <n v="1700"/>
    <n v="909.09999999999991"/>
    <n v="0.34843432601280133"/>
    <n v="5"/>
    <x v="4"/>
    <s v="Low"/>
  </r>
  <r>
    <s v="ORD-5275"/>
    <d v="2025-12-19T00:00:00"/>
    <d v="2025-12-20T00:00:00"/>
    <x v="4"/>
    <x v="4"/>
    <s v="P101"/>
    <x v="1"/>
    <s v="Consumer"/>
    <n v="1"/>
    <n v="0.2"/>
    <s v="Debit Card"/>
    <s v="No"/>
    <n v="4"/>
    <s v="Wireless Mouse"/>
    <x v="3"/>
    <n v="799"/>
    <s v="OK"/>
    <n v="420"/>
    <n v="799"/>
    <n v="159.80000000000001"/>
    <n v="639.20000000000005"/>
    <n v="420"/>
    <n v="219.20000000000005"/>
    <n v="0.34292866082603257"/>
    <n v="1"/>
    <x v="4"/>
    <s v="Low"/>
  </r>
  <r>
    <s v="ORD-5276"/>
    <d v="2025-04-07T00:00:00"/>
    <d v="2025-04-10T00:00:00"/>
    <x v="0"/>
    <x v="5"/>
    <s v="P109"/>
    <x v="2"/>
    <s v="Corporate"/>
    <n v="4"/>
    <n v="0.2"/>
    <s v="Debit Card"/>
    <s v="No"/>
    <n v="5"/>
    <s v="Ergonomic Chair"/>
    <x v="0"/>
    <n v="10499"/>
    <s v="OK"/>
    <n v="7600"/>
    <n v="41996"/>
    <n v="8399.2000000000007"/>
    <n v="33596.800000000003"/>
    <n v="30400"/>
    <n v="3196.8000000000029"/>
    <n v="9.5151919230402976E-2"/>
    <n v="3"/>
    <x v="6"/>
    <s v="High"/>
  </r>
  <r>
    <s v="ORD-5277"/>
    <d v="2025-11-29T00:00:00"/>
    <d v="2025-12-05T00:00:00"/>
    <x v="1"/>
    <x v="0"/>
    <s v="P101"/>
    <x v="2"/>
    <s v="Small Business"/>
    <n v="2"/>
    <n v="0.15"/>
    <s v="Credit Card"/>
    <s v="No"/>
    <n v="4"/>
    <s v="Wireless Mouse"/>
    <x v="3"/>
    <n v="799"/>
    <s v="OK"/>
    <n v="420"/>
    <n v="1598"/>
    <n v="239.7"/>
    <n v="1358.3"/>
    <n v="840"/>
    <n v="518.29999999999995"/>
    <n v="0.38157991607156"/>
    <n v="6"/>
    <x v="1"/>
    <s v="Low"/>
  </r>
  <r>
    <s v="ORD-5278"/>
    <d v="2025-11-18T00:00:00"/>
    <d v="2025-11-20T00:00:00"/>
    <x v="2"/>
    <x v="1"/>
    <s v="P107"/>
    <x v="1"/>
    <s v="Small Business"/>
    <n v="1"/>
    <n v="0.05"/>
    <s v="Cash on Delivery"/>
    <s v="No"/>
    <n v="3"/>
    <s v="Laptop Stand"/>
    <x v="3"/>
    <n v="1899"/>
    <s v="OK"/>
    <n v="980"/>
    <n v="1899"/>
    <n v="94.95"/>
    <n v="1804.05"/>
    <n v="980"/>
    <n v="824.05"/>
    <n v="0.45677780549319585"/>
    <n v="2"/>
    <x v="1"/>
    <s v="Low"/>
  </r>
  <r>
    <s v="ORD-5279"/>
    <d v="2025-05-06T00:00:00"/>
    <d v="2025-05-12T00:00:00"/>
    <x v="3"/>
    <x v="2"/>
    <s v="P109"/>
    <x v="0"/>
    <s v="Consumer"/>
    <n v="2"/>
    <n v="0"/>
    <s v="Cash on Delivery"/>
    <s v="No"/>
    <n v="4"/>
    <s v="Ergonomic Chair"/>
    <x v="0"/>
    <n v="10499"/>
    <s v="OK"/>
    <n v="7600"/>
    <n v="20998"/>
    <n v="0"/>
    <n v="20998"/>
    <n v="15200"/>
    <n v="5798"/>
    <n v="0.27612153538432233"/>
    <n v="6"/>
    <x v="0"/>
    <s v="High"/>
  </r>
  <r>
    <s v="ORD-5280"/>
    <d v="2025-07-08T00:00:00"/>
    <d v="2025-07-14T00:00:00"/>
    <x v="4"/>
    <x v="3"/>
    <s v="P110"/>
    <x v="0"/>
    <s v="Corporate"/>
    <n v="1"/>
    <n v="0.2"/>
    <s v="Debit Card"/>
    <s v="No"/>
    <n v="5"/>
    <s v="LED Desk Lamp"/>
    <x v="0"/>
    <n v="1999"/>
    <s v="OK"/>
    <n v="1050"/>
    <n v="1999"/>
    <n v="399.8"/>
    <n v="1599.2"/>
    <n v="1050"/>
    <n v="549.20000000000005"/>
    <n v="0.34342171085542772"/>
    <n v="6"/>
    <x v="2"/>
    <s v="Low"/>
  </r>
  <r>
    <s v="ORD-5281"/>
    <d v="2025-05-22T00:00:00"/>
    <d v="2025-05-26T00:00:00"/>
    <x v="0"/>
    <x v="4"/>
    <s v="P103"/>
    <x v="1"/>
    <s v="Small Business"/>
    <n v="5"/>
    <n v="0"/>
    <s v="Debit Card"/>
    <s v="No"/>
    <n v="4"/>
    <s v="HD Webcam"/>
    <x v="3"/>
    <n v="2899"/>
    <s v="OK"/>
    <n v="1700"/>
    <n v="14495"/>
    <n v="0"/>
    <n v="14495"/>
    <n v="8500"/>
    <n v="5995"/>
    <n v="0.41359089341152122"/>
    <n v="4"/>
    <x v="0"/>
    <s v="Medium"/>
  </r>
  <r>
    <s v="ORD-5282"/>
    <d v="2025-04-15T00:00:00"/>
    <d v="2025-04-22T00:00:00"/>
    <x v="1"/>
    <x v="5"/>
    <s v="P104"/>
    <x v="1"/>
    <s v="Consumer"/>
    <n v="1"/>
    <n v="0.1"/>
    <s v="Cash on Delivery"/>
    <s v="Yes"/>
    <n v="2"/>
    <s v="USB-C Hub"/>
    <x v="3"/>
    <n v="1599"/>
    <s v="OK"/>
    <n v="870"/>
    <n v="1599"/>
    <n v="159.9"/>
    <n v="1439.1"/>
    <n v="870"/>
    <n v="569.09999999999991"/>
    <n v="0.3954554930164686"/>
    <n v="7"/>
    <x v="6"/>
    <s v="Low"/>
  </r>
  <r>
    <s v="ORD-5283"/>
    <d v="2025-04-27T00:00:00"/>
    <d v="2025-04-30T00:00:00"/>
    <x v="2"/>
    <x v="0"/>
    <s v="P111"/>
    <x v="3"/>
    <s v="Corporate"/>
    <n v="3"/>
    <n v="0.05"/>
    <s v="Cash on Delivery"/>
    <s v="No"/>
    <n v="5"/>
    <s v="Bluetooth Speaker"/>
    <x v="1"/>
    <n v="2799"/>
    <s v="OK"/>
    <n v="1650"/>
    <n v="8397"/>
    <n v="419.85"/>
    <n v="7977.15"/>
    <n v="4950"/>
    <n v="3027.1499999999996"/>
    <n v="0.37947763298922543"/>
    <n v="3"/>
    <x v="6"/>
    <s v="Low"/>
  </r>
  <r>
    <s v="ORD-5284"/>
    <d v="2025-10-25T00:00:00"/>
    <d v="2025-10-30T00:00:00"/>
    <x v="3"/>
    <x v="1"/>
    <s v="P999"/>
    <x v="1"/>
    <s v="Corporate"/>
    <n v="2"/>
    <n v="0.2"/>
    <s v="Cash on Delivery"/>
    <s v="No"/>
    <n v="5"/>
    <s v="NOT FOUND"/>
    <x v="5"/>
    <s v="NOT FOUND"/>
    <s v="Missing Product"/>
    <s v="NOT FOUND"/>
    <s v="NOT FOUND"/>
    <s v="NOT FOUND"/>
    <s v="NOT FOUND"/>
    <s v="NOT FOUND"/>
    <s v="NOT FOUND"/>
    <s v=""/>
    <n v="5"/>
    <x v="10"/>
    <s v=""/>
  </r>
  <r>
    <s v="ORD-5285"/>
    <d v="2025-07-05T00:00:00"/>
    <d v="2025-07-10T00:00:00"/>
    <x v="4"/>
    <x v="2"/>
    <s v="P105"/>
    <x v="0"/>
    <s v="Consumer"/>
    <n v="4"/>
    <n v="0.2"/>
    <s v="Credit Card"/>
    <s v="No"/>
    <n v="5"/>
    <s v="24-inch Monitor"/>
    <x v="4"/>
    <n v="12999"/>
    <s v="OK"/>
    <n v="9100"/>
    <n v="51996"/>
    <n v="10399.200000000001"/>
    <n v="41596.800000000003"/>
    <n v="36400"/>
    <n v="5196.8000000000029"/>
    <n v="0.12493268712977927"/>
    <n v="5"/>
    <x v="2"/>
    <s v="High"/>
  </r>
  <r>
    <s v="ORD-5286"/>
    <d v="2025-11-14T00:00:00"/>
    <d v="2025-11-17T00:00:00"/>
    <x v="0"/>
    <x v="3"/>
    <s v="P111"/>
    <x v="2"/>
    <s v="Small Business"/>
    <n v="5"/>
    <n v="0.05"/>
    <s v="Credit Card"/>
    <s v="No"/>
    <n v="3"/>
    <s v="Bluetooth Speaker"/>
    <x v="1"/>
    <n v="2799"/>
    <s v="OK"/>
    <n v="1650"/>
    <n v="13995"/>
    <n v="699.75"/>
    <n v="13295.25"/>
    <n v="8250"/>
    <n v="5045.25"/>
    <n v="0.37947763298922549"/>
    <n v="3"/>
    <x v="1"/>
    <s v="Medium"/>
  </r>
  <r>
    <s v="ORD-5287"/>
    <d v="2025-05-30T00:00:00"/>
    <d v="2025-06-01T00:00:00"/>
    <x v="1"/>
    <x v="4"/>
    <s v="P104"/>
    <x v="0"/>
    <s v="Corporate"/>
    <n v="4"/>
    <n v="0"/>
    <s v="UPI"/>
    <s v="Yes"/>
    <n v="2"/>
    <s v="USB-C Hub"/>
    <x v="3"/>
    <n v="1599"/>
    <s v="OK"/>
    <n v="870"/>
    <n v="6396"/>
    <n v="0"/>
    <n v="6396"/>
    <n v="3480"/>
    <n v="2916"/>
    <n v="0.45590994371482174"/>
    <n v="2"/>
    <x v="0"/>
    <s v="Low"/>
  </r>
  <r>
    <s v="ORD-5288"/>
    <d v="2025-01-04T00:00:00"/>
    <d v="2025-01-05T00:00:00"/>
    <x v="2"/>
    <x v="5"/>
    <s v="P112"/>
    <x v="2"/>
    <s v="Consumer"/>
    <n v="3"/>
    <n v="0.2"/>
    <s v="Debit Card"/>
    <s v="No"/>
    <n v="4"/>
    <s v="Portable HDD 2TB"/>
    <x v="2"/>
    <n v="5899"/>
    <s v="OK"/>
    <n v="4100"/>
    <n v="17697"/>
    <n v="3539.4"/>
    <n v="14157.6"/>
    <n v="12300"/>
    <n v="1857.6000000000004"/>
    <n v="0.13120867943719278"/>
    <n v="1"/>
    <x v="11"/>
    <s v="Medium"/>
  </r>
  <r>
    <s v="ORD-5289"/>
    <d v="2025-04-07T00:00:00"/>
    <d v="2025-04-08T00:00:00"/>
    <x v="3"/>
    <x v="0"/>
    <s v="P109"/>
    <x v="3"/>
    <s v="Consumer"/>
    <n v="4"/>
    <n v="0"/>
    <s v="Net Banking"/>
    <s v="No"/>
    <n v="4"/>
    <s v="Ergonomic Chair"/>
    <x v="0"/>
    <n v="10499"/>
    <s v="OK"/>
    <n v="7600"/>
    <n v="41996"/>
    <n v="0"/>
    <n v="41996"/>
    <n v="30400"/>
    <n v="11596"/>
    <n v="0.27612153538432233"/>
    <n v="1"/>
    <x v="6"/>
    <s v="High"/>
  </r>
  <r>
    <s v="ORD-5290"/>
    <d v="2025-03-24T00:00:00"/>
    <d v="2025-03-26T00:00:00"/>
    <x v="4"/>
    <x v="1"/>
    <s v="P101"/>
    <x v="0"/>
    <s v="Consumer"/>
    <n v="3"/>
    <n v="0.05"/>
    <s v="Debit Card"/>
    <s v="No"/>
    <n v="5"/>
    <s v="Wireless Mouse"/>
    <x v="3"/>
    <n v="799"/>
    <s v="OK"/>
    <n v="420"/>
    <n v="2397"/>
    <n v="119.85000000000001"/>
    <n v="2277.15"/>
    <n v="1260"/>
    <n v="1017.1500000000001"/>
    <n v="0.44667676701139586"/>
    <n v="2"/>
    <x v="8"/>
    <s v="Low"/>
  </r>
  <r>
    <s v="ORD-5291"/>
    <d v="2025-08-10T00:00:00"/>
    <d v="2025-08-13T00:00:00"/>
    <x v="0"/>
    <x v="2"/>
    <s v="P105"/>
    <x v="0"/>
    <s v="Consumer"/>
    <n v="2"/>
    <n v="0.1"/>
    <s v="Debit Card"/>
    <s v="No"/>
    <n v="5"/>
    <s v="24-inch Monitor"/>
    <x v="4"/>
    <n v="12999"/>
    <s v="OK"/>
    <n v="9100"/>
    <n v="25998"/>
    <n v="2599.8000000000002"/>
    <n v="23398.2"/>
    <n v="18200"/>
    <n v="5198.2000000000007"/>
    <n v="0.22216238855980378"/>
    <n v="3"/>
    <x v="7"/>
    <s v="High"/>
  </r>
  <r>
    <s v="ORD-5292"/>
    <d v="2025-09-16T00:00:00"/>
    <d v="2025-09-20T00:00:00"/>
    <x v="1"/>
    <x v="3"/>
    <s v="P102"/>
    <x v="0"/>
    <s v="Small Business"/>
    <n v="4"/>
    <n v="0"/>
    <s v="Cash on Delivery"/>
    <s v="No"/>
    <n v="3"/>
    <s v="Mechanical Keyboard"/>
    <x v="3"/>
    <n v="2499"/>
    <s v="OK"/>
    <n v="1450"/>
    <n v="9996"/>
    <n v="0"/>
    <n v="9996"/>
    <n v="5800"/>
    <n v="4196"/>
    <n v="0.41976790716286516"/>
    <n v="4"/>
    <x v="9"/>
    <s v="Low"/>
  </r>
  <r>
    <s v="ORD-5293"/>
    <d v="2025-06-30T00:00:00"/>
    <d v="2025-07-04T00:00:00"/>
    <x v="2"/>
    <x v="4"/>
    <s v="P106"/>
    <x v="0"/>
    <s v="Consumer"/>
    <n v="4"/>
    <n v="0.05"/>
    <s v="Credit Card"/>
    <s v="No"/>
    <n v="3"/>
    <s v="Wireless Headset"/>
    <x v="1"/>
    <n v="3499"/>
    <s v="OK"/>
    <n v="2100"/>
    <n v="13996"/>
    <n v="699.80000000000007"/>
    <n v="13296.2"/>
    <n v="8400"/>
    <n v="4896.2000000000007"/>
    <n v="0.36824054993155941"/>
    <n v="4"/>
    <x v="3"/>
    <s v="Medium"/>
  </r>
  <r>
    <s v="ORD-5294"/>
    <d v="2025-11-01T00:00:00"/>
    <d v="2025-11-03T00:00:00"/>
    <x v="3"/>
    <x v="5"/>
    <s v="P104"/>
    <x v="0"/>
    <s v="Corporate"/>
    <n v="4"/>
    <n v="0.1"/>
    <s v="Debit Card"/>
    <s v="No"/>
    <n v="3"/>
    <s v="USB-C Hub"/>
    <x v="3"/>
    <n v="1599"/>
    <s v="OK"/>
    <n v="870"/>
    <n v="6396"/>
    <n v="639.6"/>
    <n v="5756.4"/>
    <n v="3480"/>
    <n v="2276.3999999999996"/>
    <n v="0.3954554930164686"/>
    <n v="2"/>
    <x v="1"/>
    <s v="Low"/>
  </r>
  <r>
    <s v="ORD-5295"/>
    <d v="2025-12-02T00:00:00"/>
    <d v="2025-12-08T00:00:00"/>
    <x v="4"/>
    <x v="0"/>
    <s v="P107"/>
    <x v="3"/>
    <s v="Consumer"/>
    <n v="1"/>
    <n v="0.05"/>
    <s v="Cash on Delivery"/>
    <s v="No"/>
    <n v="5"/>
    <s v="Laptop Stand"/>
    <x v="3"/>
    <n v="1899"/>
    <s v="OK"/>
    <n v="980"/>
    <n v="1899"/>
    <n v="94.95"/>
    <n v="1804.05"/>
    <n v="980"/>
    <n v="824.05"/>
    <n v="0.45677780549319585"/>
    <n v="6"/>
    <x v="4"/>
    <s v="Low"/>
  </r>
  <r>
    <s v="ORD-5296"/>
    <d v="2025-11-24T00:00:00"/>
    <d v="2025-12-02T00:00:00"/>
    <x v="0"/>
    <x v="1"/>
    <s v="P110"/>
    <x v="3"/>
    <s v="Small Business"/>
    <n v="4"/>
    <n v="0.15"/>
    <s v="UPI"/>
    <s v="No"/>
    <n v="3"/>
    <s v="LED Desk Lamp"/>
    <x v="0"/>
    <n v="1999"/>
    <s v="OK"/>
    <n v="1050"/>
    <n v="7996"/>
    <n v="1199.3999999999999"/>
    <n v="6796.6"/>
    <n v="4200"/>
    <n v="2596.6000000000004"/>
    <n v="0.38204396315804967"/>
    <n v="8"/>
    <x v="1"/>
    <s v="Low"/>
  </r>
  <r>
    <s v="ORD-5297"/>
    <d v="2025-09-09T00:00:00"/>
    <d v="2025-09-13T00:00:00"/>
    <x v="1"/>
    <x v="2"/>
    <s v="P108"/>
    <x v="1"/>
    <s v="Corporate"/>
    <n v="2"/>
    <n v="0"/>
    <s v="Cash on Delivery"/>
    <s v="Yes"/>
    <n v="3"/>
    <s v="SSD 1TB"/>
    <x v="2"/>
    <n v="6999"/>
    <s v="OK"/>
    <n v="4900"/>
    <n v="13998"/>
    <n v="0"/>
    <n v="13998"/>
    <n v="9800"/>
    <n v="4198"/>
    <n v="0.29989998571224463"/>
    <n v="4"/>
    <x v="9"/>
    <s v="Medium"/>
  </r>
  <r>
    <s v="ORD-5298"/>
    <d v="2025-10-22T00:00:00"/>
    <d v="2025-10-27T00:00:00"/>
    <x v="2"/>
    <x v="3"/>
    <s v="P109"/>
    <x v="3"/>
    <s v="Consumer"/>
    <n v="3"/>
    <n v="0"/>
    <s v="Cash on Delivery"/>
    <s v="No"/>
    <n v="4"/>
    <s v="Ergonomic Chair"/>
    <x v="0"/>
    <n v="10499"/>
    <s v="OK"/>
    <n v="7600"/>
    <n v="31497"/>
    <n v="0"/>
    <n v="31497"/>
    <n v="22800"/>
    <n v="8697"/>
    <n v="0.27612153538432233"/>
    <n v="5"/>
    <x v="10"/>
    <s v="High"/>
  </r>
  <r>
    <s v="ORD-5299"/>
    <d v="2025-11-18T00:00:00"/>
    <d v="2025-11-26T00:00:00"/>
    <x v="5"/>
    <x v="4"/>
    <s v="P109"/>
    <x v="2"/>
    <s v="Consumer"/>
    <n v="5"/>
    <n v="0.1"/>
    <s v="UPI"/>
    <s v="No"/>
    <n v="4"/>
    <s v="Ergonomic Chair"/>
    <x v="0"/>
    <n v="10499"/>
    <s v="OK"/>
    <n v="7600"/>
    <n v="52495"/>
    <n v="5249.5"/>
    <n v="47245.5"/>
    <n v="38000"/>
    <n v="9245.5"/>
    <n v="0.19569059487146925"/>
    <n v="8"/>
    <x v="1"/>
    <s v="High"/>
  </r>
  <r>
    <s v="ORD-5300"/>
    <d v="2025-10-19T00:00:00"/>
    <d v="2025-10-25T00:00:00"/>
    <x v="4"/>
    <x v="5"/>
    <s v="P102"/>
    <x v="1"/>
    <s v="Consumer"/>
    <n v="1"/>
    <n v="0.2"/>
    <s v="UPI"/>
    <s v="No"/>
    <n v="4"/>
    <s v="Mechanical Keyboard"/>
    <x v="3"/>
    <n v="2499"/>
    <s v="OK"/>
    <n v="1450"/>
    <n v="2499"/>
    <n v="499.8"/>
    <n v="1999.2"/>
    <n v="1450"/>
    <n v="549.20000000000005"/>
    <n v="0.27470988395358142"/>
    <n v="6"/>
    <x v="10"/>
    <s v="Low"/>
  </r>
  <r>
    <s v="ORD-5301"/>
    <d v="2025-03-08T00:00:00"/>
    <d v="2025-03-09T00:00:00"/>
    <x v="0"/>
    <x v="0"/>
    <s v="P104"/>
    <x v="0"/>
    <s v="Small Business"/>
    <n v="2"/>
    <n v="0"/>
    <s v="Credit Card"/>
    <s v="No"/>
    <n v="4"/>
    <s v="USB-C Hub"/>
    <x v="3"/>
    <n v="1599"/>
    <s v="OK"/>
    <n v="870"/>
    <n v="3198"/>
    <n v="0"/>
    <n v="3198"/>
    <n v="1740"/>
    <n v="1458"/>
    <n v="0.45590994371482174"/>
    <n v="1"/>
    <x v="8"/>
    <s v="Low"/>
  </r>
  <r>
    <s v="ORD-5302"/>
    <d v="2025-01-08T00:00:00"/>
    <d v="2025-01-09T00:00:00"/>
    <x v="1"/>
    <x v="1"/>
    <s v="P112"/>
    <x v="1"/>
    <s v="Small Business"/>
    <n v="4"/>
    <n v="0"/>
    <s v="Credit Card"/>
    <s v="No"/>
    <n v="4"/>
    <s v="Portable HDD 2TB"/>
    <x v="2"/>
    <n v="5899"/>
    <s v="OK"/>
    <n v="4100"/>
    <n v="23596"/>
    <n v="0"/>
    <n v="23596"/>
    <n v="16400"/>
    <n v="7196"/>
    <n v="0.30496694354975418"/>
    <n v="1"/>
    <x v="11"/>
    <s v="High"/>
  </r>
  <r>
    <s v="ORD-5303"/>
    <d v="2025-08-30T00:00:00"/>
    <d v="2025-09-01T00:00:00"/>
    <x v="2"/>
    <x v="2"/>
    <s v="P108"/>
    <x v="3"/>
    <s v="Small Business"/>
    <n v="2"/>
    <n v="0"/>
    <s v="Credit Card"/>
    <s v="No"/>
    <n v="4"/>
    <s v="SSD 1TB"/>
    <x v="2"/>
    <n v="6999"/>
    <s v="OK"/>
    <n v="4900"/>
    <n v="13998"/>
    <n v="0"/>
    <n v="13998"/>
    <n v="9800"/>
    <n v="4198"/>
    <n v="0.29989998571224463"/>
    <n v="2"/>
    <x v="7"/>
    <s v="Medium"/>
  </r>
  <r>
    <s v="ORD-5304"/>
    <d v="2025-04-24T00:00:00"/>
    <d v="2025-04-26T00:00:00"/>
    <x v="3"/>
    <x v="3"/>
    <s v="P106"/>
    <x v="3"/>
    <s v="Corporate"/>
    <n v="4"/>
    <n v="0.15"/>
    <s v="Net Banking"/>
    <s v="No"/>
    <n v="5"/>
    <s v="Wireless Headset"/>
    <x v="1"/>
    <n v="3499"/>
    <s v="OK"/>
    <n v="2100"/>
    <n v="13996"/>
    <n v="2099.4"/>
    <n v="11896.6"/>
    <n v="8400"/>
    <n v="3496.6000000000004"/>
    <n v="0.29391590874703699"/>
    <n v="2"/>
    <x v="6"/>
    <s v="Medium"/>
  </r>
  <r>
    <s v="ORD-5305"/>
    <d v="2025-06-12T00:00:00"/>
    <d v="2025-06-19T00:00:00"/>
    <x v="4"/>
    <x v="4"/>
    <s v="P103"/>
    <x v="0"/>
    <s v="Corporate"/>
    <n v="2"/>
    <n v="0.2"/>
    <s v="Credit Card"/>
    <s v="No"/>
    <n v="5"/>
    <s v="HD Webcam"/>
    <x v="3"/>
    <n v="2899"/>
    <s v="OK"/>
    <n v="1700"/>
    <n v="5798"/>
    <n v="1159.6000000000001"/>
    <n v="4638.3999999999996"/>
    <n v="3400"/>
    <n v="1238.3999999999996"/>
    <n v="0.26698861676440144"/>
    <n v="7"/>
    <x v="3"/>
    <s v="Low"/>
  </r>
  <r>
    <s v="ORD-5306"/>
    <d v="2025-07-26T00:00:00"/>
    <d v="2025-07-28T00:00:00"/>
    <x v="0"/>
    <x v="5"/>
    <s v="P105"/>
    <x v="0"/>
    <s v="Corporate"/>
    <n v="1"/>
    <n v="0"/>
    <s v="Cash on Delivery"/>
    <s v="No"/>
    <n v="5"/>
    <s v="24-inch Monitor"/>
    <x v="4"/>
    <n v="12999"/>
    <s v="OK"/>
    <n v="9100"/>
    <n v="12999"/>
    <n v="0"/>
    <n v="12999"/>
    <n v="9100"/>
    <n v="3899"/>
    <n v="0.29994614970382338"/>
    <n v="2"/>
    <x v="2"/>
    <s v="Medium"/>
  </r>
  <r>
    <s v="ORD-5307"/>
    <d v="2025-08-13T00:00:00"/>
    <d v="2025-08-14T00:00:00"/>
    <x v="1"/>
    <x v="0"/>
    <s v="P104"/>
    <x v="0"/>
    <s v="Small Business"/>
    <n v="4"/>
    <n v="0"/>
    <s v="Credit Card"/>
    <s v="No"/>
    <n v="4"/>
    <s v="USB-C Hub"/>
    <x v="3"/>
    <n v="1599"/>
    <s v="OK"/>
    <n v="870"/>
    <n v="6396"/>
    <n v="0"/>
    <n v="6396"/>
    <n v="3480"/>
    <n v="2916"/>
    <n v="0.45590994371482174"/>
    <n v="1"/>
    <x v="7"/>
    <s v="Low"/>
  </r>
  <r>
    <s v="ORD-5308"/>
    <d v="2025-07-23T00:00:00"/>
    <d v="2025-07-29T00:00:00"/>
    <x v="2"/>
    <x v="1"/>
    <s v="P111"/>
    <x v="1"/>
    <s v="Consumer"/>
    <n v="5"/>
    <n v="0.2"/>
    <s v="Cash on Delivery"/>
    <s v="Yes"/>
    <n v="1"/>
    <s v="Bluetooth Speaker"/>
    <x v="1"/>
    <n v="2799"/>
    <s v="OK"/>
    <n v="1650"/>
    <n v="13995"/>
    <n v="2799"/>
    <n v="11196"/>
    <n v="8250"/>
    <n v="2946"/>
    <n v="0.26312968917470525"/>
    <n v="6"/>
    <x v="2"/>
    <s v="Medium"/>
  </r>
  <r>
    <s v="ORD-5309"/>
    <d v="2025-07-03T00:00:00"/>
    <d v="2025-07-05T00:00:00"/>
    <x v="3"/>
    <x v="2"/>
    <s v="P106"/>
    <x v="1"/>
    <s v="Corporate"/>
    <n v="1"/>
    <n v="0.05"/>
    <s v="Credit Card"/>
    <s v="No"/>
    <n v="4"/>
    <s v="Wireless Headset"/>
    <x v="1"/>
    <n v="3499"/>
    <s v="OK"/>
    <n v="2100"/>
    <n v="3499"/>
    <n v="174.95000000000002"/>
    <n v="3324.05"/>
    <n v="2100"/>
    <n v="1224.0500000000002"/>
    <n v="0.36824054993155941"/>
    <n v="2"/>
    <x v="2"/>
    <s v="Low"/>
  </r>
  <r>
    <s v="ORD-5310"/>
    <d v="2025-08-22T00:00:00"/>
    <d v="2025-08-30T00:00:00"/>
    <x v="4"/>
    <x v="3"/>
    <s v="P110"/>
    <x v="2"/>
    <s v="Consumer"/>
    <n v="4"/>
    <n v="0.1"/>
    <s v="Credit Card"/>
    <s v="No"/>
    <n v="5"/>
    <s v="LED Desk Lamp"/>
    <x v="0"/>
    <n v="1999"/>
    <s v="OK"/>
    <n v="1050"/>
    <n v="7996"/>
    <n v="799.6"/>
    <n v="7196.4"/>
    <n v="4200"/>
    <n v="2996.3999999999996"/>
    <n v="0.4163748540937135"/>
    <n v="8"/>
    <x v="7"/>
    <s v="Low"/>
  </r>
  <r>
    <s v="ORD-5311"/>
    <d v="2025-05-29T00:00:00"/>
    <d v="2025-05-30T00:00:00"/>
    <x v="0"/>
    <x v="4"/>
    <s v="P104"/>
    <x v="2"/>
    <s v="Small Business"/>
    <n v="4"/>
    <n v="0.15"/>
    <s v="Credit Card"/>
    <s v="No"/>
    <n v="5"/>
    <s v="USB-C Hub"/>
    <x v="3"/>
    <n v="1599"/>
    <s v="OK"/>
    <n v="870"/>
    <n v="6396"/>
    <n v="959.4"/>
    <n v="5436.6"/>
    <n v="3480"/>
    <n v="1956.6000000000004"/>
    <n v="0.35989405142920211"/>
    <n v="1"/>
    <x v="0"/>
    <s v="Low"/>
  </r>
  <r>
    <s v="ORD-5312"/>
    <d v="2025-05-05T00:00:00"/>
    <d v="2025-05-09T00:00:00"/>
    <x v="1"/>
    <x v="5"/>
    <s v="P110"/>
    <x v="2"/>
    <s v="Corporate"/>
    <n v="5"/>
    <n v="0.15"/>
    <s v="Credit Card"/>
    <s v="No"/>
    <n v="5"/>
    <s v="LED Desk Lamp"/>
    <x v="0"/>
    <n v="1999"/>
    <s v="OK"/>
    <n v="1050"/>
    <n v="9995"/>
    <n v="1499.25"/>
    <n v="8495.75"/>
    <n v="5250"/>
    <n v="3245.75"/>
    <n v="0.38204396315804962"/>
    <n v="4"/>
    <x v="0"/>
    <s v="Low"/>
  </r>
  <r>
    <s v="ORD-5313"/>
    <d v="2025-08-27T00:00:00"/>
    <d v="2025-09-02T00:00:00"/>
    <x v="2"/>
    <x v="0"/>
    <s v="P105"/>
    <x v="2"/>
    <s v="Consumer"/>
    <n v="5"/>
    <n v="0.2"/>
    <s v="UPI"/>
    <s v="No"/>
    <n v="4"/>
    <s v="24-inch Monitor"/>
    <x v="4"/>
    <n v="12999"/>
    <s v="OK"/>
    <n v="9100"/>
    <n v="64995"/>
    <n v="12999"/>
    <n v="51996"/>
    <n v="45500"/>
    <n v="6496"/>
    <n v="0.12493268712977922"/>
    <n v="6"/>
    <x v="7"/>
    <s v="High"/>
  </r>
  <r>
    <s v="ORD-5314"/>
    <d v="2025-05-21T00:00:00"/>
    <d v="2025-05-27T00:00:00"/>
    <x v="3"/>
    <x v="1"/>
    <s v="P104"/>
    <x v="1"/>
    <s v="Small Business"/>
    <n v="4"/>
    <n v="0.2"/>
    <s v="Cash on Delivery"/>
    <s v="No"/>
    <n v="3"/>
    <s v="USB-C Hub"/>
    <x v="3"/>
    <n v="1599"/>
    <s v="OK"/>
    <n v="870"/>
    <n v="6396"/>
    <n v="1279.2"/>
    <n v="5116.8"/>
    <n v="3480"/>
    <n v="1636.8000000000002"/>
    <n v="0.31988742964352723"/>
    <n v="6"/>
    <x v="0"/>
    <s v="Low"/>
  </r>
  <r>
    <s v="ORD-5315"/>
    <d v="2025-01-17T00:00:00"/>
    <d v="2025-01-25T00:00:00"/>
    <x v="4"/>
    <x v="2"/>
    <s v="P102"/>
    <x v="0"/>
    <s v="Corporate"/>
    <n v="5"/>
    <n v="0"/>
    <s v="UPI"/>
    <s v="No"/>
    <n v="4"/>
    <s v="Mechanical Keyboard"/>
    <x v="3"/>
    <n v="2499"/>
    <s v="OK"/>
    <n v="1450"/>
    <n v="12495"/>
    <n v="0"/>
    <n v="12495"/>
    <n v="7250"/>
    <n v="5245"/>
    <n v="0.41976790716286516"/>
    <n v="8"/>
    <x v="11"/>
    <s v="Medium"/>
  </r>
  <r>
    <s v="ORD-5316"/>
    <d v="2025-07-15T00:00:00"/>
    <d v="2025-07-22T00:00:00"/>
    <x v="0"/>
    <x v="3"/>
    <s v="P110"/>
    <x v="1"/>
    <s v="Corporate"/>
    <n v="5"/>
    <n v="0.1"/>
    <s v="Credit Card"/>
    <s v="No"/>
    <n v="3"/>
    <s v="LED Desk Lamp"/>
    <x v="0"/>
    <n v="1999"/>
    <s v="OK"/>
    <n v="1050"/>
    <n v="9995"/>
    <n v="999.5"/>
    <n v="8995.5"/>
    <n v="5250"/>
    <n v="3745.5"/>
    <n v="0.4163748540937135"/>
    <n v="7"/>
    <x v="2"/>
    <s v="Low"/>
  </r>
  <r>
    <s v="ORD-5317"/>
    <d v="2025-01-09T00:00:00"/>
    <d v="2025-01-14T00:00:00"/>
    <x v="1"/>
    <x v="4"/>
    <s v="P101"/>
    <x v="3"/>
    <s v="Corporate"/>
    <n v="5"/>
    <n v="0"/>
    <s v="Debit Card"/>
    <s v="No"/>
    <n v="3"/>
    <s v="Wireless Mouse"/>
    <x v="3"/>
    <n v="799"/>
    <s v="OK"/>
    <n v="420"/>
    <n v="3995"/>
    <n v="0"/>
    <n v="3995"/>
    <n v="2100"/>
    <n v="1895"/>
    <n v="0.47434292866082606"/>
    <n v="5"/>
    <x v="11"/>
    <s v="Low"/>
  </r>
  <r>
    <s v="ORD-5318"/>
    <d v="2025-04-04T00:00:00"/>
    <d v="2025-04-10T00:00:00"/>
    <x v="2"/>
    <x v="5"/>
    <s v="P106"/>
    <x v="2"/>
    <s v="Consumer"/>
    <n v="2"/>
    <n v="0.05"/>
    <s v="Net Banking"/>
    <s v="No"/>
    <n v="5"/>
    <s v="Wireless Headset"/>
    <x v="1"/>
    <n v="3499"/>
    <s v="OK"/>
    <n v="2100"/>
    <n v="6998"/>
    <n v="349.90000000000003"/>
    <n v="6648.1"/>
    <n v="4200"/>
    <n v="2448.1000000000004"/>
    <n v="0.36824054993155941"/>
    <n v="6"/>
    <x v="6"/>
    <s v="Low"/>
  </r>
  <r>
    <s v="ORD-5319"/>
    <d v="2025-06-09T00:00:00"/>
    <d v="2025-06-15T00:00:00"/>
    <x v="3"/>
    <x v="0"/>
    <s v="P112"/>
    <x v="1"/>
    <s v="Consumer"/>
    <n v="3"/>
    <n v="0.15"/>
    <s v="Credit Card"/>
    <s v="No"/>
    <n v="5"/>
    <s v="Portable HDD 2TB"/>
    <x v="2"/>
    <n v="5899"/>
    <s v="OK"/>
    <n v="4100"/>
    <n v="17697"/>
    <n v="2654.5499999999997"/>
    <n v="15042.45"/>
    <n v="12300"/>
    <n v="2742.4500000000007"/>
    <n v="0.18231405123500496"/>
    <n v="6"/>
    <x v="3"/>
    <s v="Medium"/>
  </r>
  <r>
    <s v="ORD-5320"/>
    <d v="2025-10-07T00:00:00"/>
    <d v="2025-10-12T00:00:00"/>
    <x v="4"/>
    <x v="1"/>
    <s v="P106"/>
    <x v="3"/>
    <s v="Consumer"/>
    <n v="3"/>
    <n v="0.05"/>
    <s v="Cash on Delivery"/>
    <s v="No"/>
    <n v="3"/>
    <s v="Wireless Headset"/>
    <x v="1"/>
    <n v="3499"/>
    <s v="OK"/>
    <n v="2100"/>
    <n v="10497"/>
    <n v="524.85"/>
    <n v="9972.15"/>
    <n v="6300"/>
    <n v="3672.1499999999996"/>
    <n v="0.36824054993155936"/>
    <n v="5"/>
    <x v="10"/>
    <s v="Low"/>
  </r>
  <r>
    <s v="ORD-5321"/>
    <d v="2025-09-05T00:00:00"/>
    <d v="2025-09-06T00:00:00"/>
    <x v="0"/>
    <x v="2"/>
    <s v="P112"/>
    <x v="1"/>
    <s v="Small Business"/>
    <n v="5"/>
    <n v="0.15"/>
    <s v="Credit Card"/>
    <s v="No"/>
    <n v="4"/>
    <s v="Portable HDD 2TB"/>
    <x v="2"/>
    <n v="5899"/>
    <s v="OK"/>
    <n v="4100"/>
    <n v="29495"/>
    <n v="4424.25"/>
    <n v="25070.75"/>
    <n v="20500"/>
    <n v="4570.75"/>
    <n v="0.18231405123500494"/>
    <n v="1"/>
    <x v="9"/>
    <s v="High"/>
  </r>
  <r>
    <s v="ORD-5322"/>
    <d v="2025-11-30T00:00:00"/>
    <d v="2025-12-08T00:00:00"/>
    <x v="1"/>
    <x v="3"/>
    <s v="P102"/>
    <x v="0"/>
    <s v="Consumer"/>
    <n v="1"/>
    <n v="0.05"/>
    <s v="Cash on Delivery"/>
    <s v="No"/>
    <n v="3"/>
    <s v="Mechanical Keyboard"/>
    <x v="3"/>
    <n v="2499"/>
    <s v="OK"/>
    <n v="1450"/>
    <n v="2499"/>
    <n v="124.95"/>
    <n v="2374.0500000000002"/>
    <n v="1450"/>
    <n v="924.05000000000018"/>
    <n v="0.38922937596091073"/>
    <n v="8"/>
    <x v="1"/>
    <s v="Low"/>
  </r>
  <r>
    <s v="ORD-5323"/>
    <d v="2025-05-08T00:00:00"/>
    <d v="2025-05-15T00:00:00"/>
    <x v="2"/>
    <x v="4"/>
    <s v="P112"/>
    <x v="2"/>
    <s v="Consumer"/>
    <n v="3"/>
    <n v="0.15"/>
    <s v="Net Banking"/>
    <s v="No"/>
    <n v="4"/>
    <s v="Portable HDD 2TB"/>
    <x v="2"/>
    <n v="5899"/>
    <s v="OK"/>
    <n v="4100"/>
    <n v="17697"/>
    <n v="2654.5499999999997"/>
    <n v="15042.45"/>
    <n v="12300"/>
    <n v="2742.4500000000007"/>
    <n v="0.18231405123500496"/>
    <n v="7"/>
    <x v="0"/>
    <s v="Medium"/>
  </r>
  <r>
    <s v="ORD-5324"/>
    <d v="2025-11-05T00:00:00"/>
    <d v="2025-11-09T00:00:00"/>
    <x v="3"/>
    <x v="5"/>
    <s v="P103"/>
    <x v="1"/>
    <s v="Small Business"/>
    <n v="3"/>
    <n v="0.1"/>
    <s v="Debit Card"/>
    <s v="No"/>
    <n v="4"/>
    <s v="HD Webcam"/>
    <x v="3"/>
    <n v="2899"/>
    <s v="OK"/>
    <n v="1700"/>
    <n v="8697"/>
    <n v="869.7"/>
    <n v="7827.3"/>
    <n v="5100"/>
    <n v="2727.3"/>
    <n v="0.34843432601280139"/>
    <n v="4"/>
    <x v="1"/>
    <s v="Low"/>
  </r>
  <r>
    <s v="ORD-5325"/>
    <d v="2025-03-31T00:00:00"/>
    <d v="2025-04-02T00:00:00"/>
    <x v="4"/>
    <x v="0"/>
    <s v="P107"/>
    <x v="2"/>
    <s v="Corporate"/>
    <n v="1"/>
    <n v="0.2"/>
    <s v="Cash on Delivery"/>
    <s v="No"/>
    <n v="4"/>
    <s v="Laptop Stand"/>
    <x v="3"/>
    <n v="1899"/>
    <s v="OK"/>
    <n v="980"/>
    <n v="1899"/>
    <n v="379.8"/>
    <n v="1519.2"/>
    <n v="980"/>
    <n v="539.20000000000005"/>
    <n v="0.35492364402317012"/>
    <n v="2"/>
    <x v="8"/>
    <s v="Low"/>
  </r>
  <r>
    <s v="ORD-5326"/>
    <d v="2025-10-05T00:00:00"/>
    <d v="2025-10-09T00:00:00"/>
    <x v="0"/>
    <x v="1"/>
    <s v="P101"/>
    <x v="1"/>
    <s v="Consumer"/>
    <n v="2"/>
    <n v="0"/>
    <s v="UPI"/>
    <s v="No"/>
    <n v="5"/>
    <s v="Wireless Mouse"/>
    <x v="3"/>
    <n v="799"/>
    <s v="OK"/>
    <n v="420"/>
    <n v="1598"/>
    <n v="0"/>
    <n v="1598"/>
    <n v="840"/>
    <n v="758"/>
    <n v="0.47434292866082606"/>
    <n v="4"/>
    <x v="10"/>
    <s v="Low"/>
  </r>
  <r>
    <s v="ORD-5327"/>
    <d v="2025-11-08T00:00:00"/>
    <d v="2025-11-16T00:00:00"/>
    <x v="1"/>
    <x v="2"/>
    <s v="P107"/>
    <x v="1"/>
    <s v="Small Business"/>
    <n v="3"/>
    <n v="0.1"/>
    <s v="Net Banking"/>
    <s v="No"/>
    <n v="3"/>
    <s v="Laptop Stand"/>
    <x v="3"/>
    <n v="1899"/>
    <s v="OK"/>
    <n v="980"/>
    <n v="5697"/>
    <n v="569.70000000000005"/>
    <n v="5127.3"/>
    <n v="2940"/>
    <n v="2187.3000000000002"/>
    <n v="0.42659879468726231"/>
    <n v="8"/>
    <x v="1"/>
    <s v="Low"/>
  </r>
  <r>
    <s v="ORD-5328"/>
    <d v="2025-11-03T00:00:00"/>
    <d v="2025-11-10T00:00:00"/>
    <x v="5"/>
    <x v="3"/>
    <s v="P101"/>
    <x v="1"/>
    <s v="Corporate"/>
    <n v="2"/>
    <n v="0.1"/>
    <s v="Debit Card"/>
    <s v="No"/>
    <n v="3"/>
    <s v="Wireless Mouse"/>
    <x v="3"/>
    <n v="799"/>
    <s v="OK"/>
    <n v="420"/>
    <n v="1598"/>
    <n v="159.80000000000001"/>
    <n v="1438.2"/>
    <n v="840"/>
    <n v="598.20000000000005"/>
    <n v="0.41593658740091782"/>
    <n v="7"/>
    <x v="1"/>
    <s v="Low"/>
  </r>
  <r>
    <s v="ORD-5329"/>
    <d v="2025-05-06T00:00:00"/>
    <d v="2025-05-07T00:00:00"/>
    <x v="3"/>
    <x v="4"/>
    <s v="P108"/>
    <x v="1"/>
    <s v="Small Business"/>
    <n v="5"/>
    <n v="0.1"/>
    <s v="Credit Card"/>
    <s v="No"/>
    <n v="4"/>
    <s v="SSD 1TB"/>
    <x v="2"/>
    <n v="6999"/>
    <s v="OK"/>
    <n v="4900"/>
    <n v="34995"/>
    <n v="3499.5"/>
    <n v="31495.5"/>
    <n v="24500"/>
    <n v="6995.5"/>
    <n v="0.22211109523582734"/>
    <n v="1"/>
    <x v="0"/>
    <s v="High"/>
  </r>
  <r>
    <s v="ORD-5330"/>
    <d v="2025-07-26T00:00:00"/>
    <d v="2025-08-02T00:00:00"/>
    <x v="4"/>
    <x v="5"/>
    <s v="P101"/>
    <x v="2"/>
    <s v="Consumer"/>
    <n v="1"/>
    <n v="0.05"/>
    <s v="Credit Card"/>
    <s v="No"/>
    <n v="4"/>
    <s v="Wireless Mouse"/>
    <x v="3"/>
    <n v="799"/>
    <s v="OK"/>
    <n v="420"/>
    <n v="799"/>
    <n v="39.950000000000003"/>
    <n v="759.05"/>
    <n v="420"/>
    <n v="339.04999999999995"/>
    <n v="0.4466767670113958"/>
    <n v="7"/>
    <x v="2"/>
    <s v="Low"/>
  </r>
  <r>
    <s v="ORD-5331"/>
    <d v="2025-08-18T00:00:00"/>
    <d v="2025-08-25T00:00:00"/>
    <x v="0"/>
    <x v="0"/>
    <s v="P109"/>
    <x v="2"/>
    <s v="Consumer"/>
    <n v="2"/>
    <n v="0.1"/>
    <s v="Credit Card"/>
    <s v="No"/>
    <n v="4"/>
    <s v="Ergonomic Chair"/>
    <x v="0"/>
    <n v="10499"/>
    <s v="OK"/>
    <n v="7600"/>
    <n v="20998"/>
    <n v="2099.8000000000002"/>
    <n v="18898.2"/>
    <n v="15200"/>
    <n v="3698.2000000000007"/>
    <n v="0.19569059487146928"/>
    <n v="7"/>
    <x v="7"/>
    <s v="Medium"/>
  </r>
  <r>
    <s v="ORD-5332"/>
    <d v="2025-09-30T00:00:00"/>
    <d v="2025-10-01T00:00:00"/>
    <x v="1"/>
    <x v="1"/>
    <s v="P101"/>
    <x v="2"/>
    <s v="Consumer"/>
    <n v="5"/>
    <n v="0"/>
    <s v="Net Banking"/>
    <s v="No"/>
    <n v="3"/>
    <s v="Wireless Mouse"/>
    <x v="3"/>
    <n v="799"/>
    <s v="OK"/>
    <n v="420"/>
    <n v="3995"/>
    <n v="0"/>
    <n v="3995"/>
    <n v="2100"/>
    <n v="1895"/>
    <n v="0.47434292866082606"/>
    <n v="1"/>
    <x v="9"/>
    <s v="Low"/>
  </r>
  <r>
    <s v="ORD-5333"/>
    <d v="2025-03-26T00:00:00"/>
    <d v="2025-03-27T00:00:00"/>
    <x v="2"/>
    <x v="2"/>
    <s v="P107"/>
    <x v="3"/>
    <s v="Corporate"/>
    <n v="4"/>
    <n v="0"/>
    <s v="Cash on Delivery"/>
    <s v="No"/>
    <n v="3"/>
    <s v="Laptop Stand"/>
    <x v="3"/>
    <n v="1899"/>
    <s v="OK"/>
    <n v="980"/>
    <n v="7596"/>
    <n v="0"/>
    <n v="7596"/>
    <n v="3920"/>
    <n v="3676"/>
    <n v="0.48393891521853605"/>
    <n v="1"/>
    <x v="8"/>
    <s v="Low"/>
  </r>
  <r>
    <s v="ORD-5334"/>
    <d v="2025-11-15T00:00:00"/>
    <d v="2025-11-16T00:00:00"/>
    <x v="3"/>
    <x v="3"/>
    <s v="P102"/>
    <x v="1"/>
    <s v="Corporate"/>
    <n v="1"/>
    <n v="0.2"/>
    <s v="Credit Card"/>
    <s v="No"/>
    <n v="5"/>
    <s v="Mechanical Keyboard"/>
    <x v="3"/>
    <n v="2499"/>
    <s v="OK"/>
    <n v="1450"/>
    <n v="2499"/>
    <n v="499.8"/>
    <n v="1999.2"/>
    <n v="1450"/>
    <n v="549.20000000000005"/>
    <n v="0.27470988395358142"/>
    <n v="1"/>
    <x v="1"/>
    <s v="Low"/>
  </r>
  <r>
    <s v="ORD-5335"/>
    <d v="2025-09-26T00:00:00"/>
    <d v="2025-09-30T00:00:00"/>
    <x v="4"/>
    <x v="4"/>
    <s v="P109"/>
    <x v="3"/>
    <s v="Small Business"/>
    <n v="3"/>
    <n v="0"/>
    <s v="Cash on Delivery"/>
    <s v="No"/>
    <n v="4"/>
    <s v="Ergonomic Chair"/>
    <x v="0"/>
    <n v="10499"/>
    <s v="OK"/>
    <n v="7600"/>
    <n v="31497"/>
    <n v="0"/>
    <n v="31497"/>
    <n v="22800"/>
    <n v="8697"/>
    <n v="0.27612153538432233"/>
    <n v="4"/>
    <x v="9"/>
    <s v="High"/>
  </r>
  <r>
    <s v="ORD-5336"/>
    <d v="2025-02-20T00:00:00"/>
    <d v="2025-02-23T00:00:00"/>
    <x v="0"/>
    <x v="5"/>
    <s v="P101"/>
    <x v="3"/>
    <s v="Corporate"/>
    <n v="4"/>
    <n v="0.2"/>
    <s v="UPI"/>
    <s v="No"/>
    <n v="3"/>
    <s v="Wireless Mouse"/>
    <x v="3"/>
    <n v="799"/>
    <s v="OK"/>
    <n v="420"/>
    <n v="3196"/>
    <n v="639.20000000000005"/>
    <n v="2556.8000000000002"/>
    <n v="1680"/>
    <n v="876.80000000000018"/>
    <n v="0.34292866082603257"/>
    <n v="3"/>
    <x v="5"/>
    <s v="Low"/>
  </r>
  <r>
    <s v="ORD-5337"/>
    <d v="2025-06-19T00:00:00"/>
    <d v="2025-06-20T00:00:00"/>
    <x v="1"/>
    <x v="0"/>
    <s v="P104"/>
    <x v="2"/>
    <s v="Consumer"/>
    <n v="2"/>
    <n v="0"/>
    <s v="Credit Card"/>
    <s v="No"/>
    <n v="4"/>
    <s v="USB-C Hub"/>
    <x v="3"/>
    <n v="1599"/>
    <s v="OK"/>
    <n v="870"/>
    <n v="3198"/>
    <n v="0"/>
    <n v="3198"/>
    <n v="1740"/>
    <n v="1458"/>
    <n v="0.45590994371482174"/>
    <n v="1"/>
    <x v="3"/>
    <s v="Low"/>
  </r>
  <r>
    <s v="ORD-5338"/>
    <d v="2025-01-21T00:00:00"/>
    <d v="2025-01-22T00:00:00"/>
    <x v="2"/>
    <x v="1"/>
    <s v="P105"/>
    <x v="2"/>
    <s v="Corporate"/>
    <n v="2"/>
    <n v="0.1"/>
    <s v="Cash on Delivery"/>
    <s v="No"/>
    <n v="5"/>
    <s v="24-inch Monitor"/>
    <x v="4"/>
    <n v="12999"/>
    <s v="OK"/>
    <n v="9100"/>
    <n v="25998"/>
    <n v="2599.8000000000002"/>
    <n v="23398.2"/>
    <n v="18200"/>
    <n v="5198.2000000000007"/>
    <n v="0.22216238855980378"/>
    <n v="1"/>
    <x v="11"/>
    <s v="High"/>
  </r>
  <r>
    <s v="ORD-5339"/>
    <d v="2025-09-15T00:00:00"/>
    <d v="2025-09-19T00:00:00"/>
    <x v="3"/>
    <x v="2"/>
    <s v="P111"/>
    <x v="3"/>
    <s v="Consumer"/>
    <n v="3"/>
    <n v="0.2"/>
    <s v="Credit Card"/>
    <s v="No"/>
    <n v="4"/>
    <s v="Bluetooth Speaker"/>
    <x v="1"/>
    <n v="2799"/>
    <s v="OK"/>
    <n v="1650"/>
    <n v="8397"/>
    <n v="1679.4"/>
    <n v="6717.6"/>
    <n v="4950"/>
    <n v="1767.6000000000004"/>
    <n v="0.26312968917470531"/>
    <n v="4"/>
    <x v="9"/>
    <s v="Low"/>
  </r>
  <r>
    <s v="ORD-5340"/>
    <d v="2025-04-09T00:00:00"/>
    <d v="2025-04-14T00:00:00"/>
    <x v="4"/>
    <x v="3"/>
    <s v="P105"/>
    <x v="1"/>
    <s v="Small Business"/>
    <n v="2"/>
    <n v="0"/>
    <s v="UPI"/>
    <s v="No"/>
    <n v="3"/>
    <s v="24-inch Monitor"/>
    <x v="4"/>
    <n v="12999"/>
    <s v="OK"/>
    <n v="9100"/>
    <n v="25998"/>
    <n v="0"/>
    <n v="25998"/>
    <n v="18200"/>
    <n v="7798"/>
    <n v="0.29994614970382338"/>
    <n v="5"/>
    <x v="6"/>
    <s v="High"/>
  </r>
  <r>
    <s v="ORD-5341"/>
    <d v="2025-07-15T00:00:00"/>
    <d v="2025-07-20T00:00:00"/>
    <x v="0"/>
    <x v="4"/>
    <s v="P112"/>
    <x v="1"/>
    <s v="Corporate"/>
    <n v="4"/>
    <n v="0.05"/>
    <s v="UPI"/>
    <s v="No"/>
    <n v="5"/>
    <s v="Portable HDD 2TB"/>
    <x v="2"/>
    <n v="5899"/>
    <s v="OK"/>
    <n v="4100"/>
    <n v="23596"/>
    <n v="1179.8"/>
    <n v="22416.2"/>
    <n v="16400"/>
    <n v="6016.2000000000007"/>
    <n v="0.26838625636816232"/>
    <n v="5"/>
    <x v="2"/>
    <s v="High"/>
  </r>
  <r>
    <s v="ORD-5342"/>
    <d v="2025-04-01T00:00:00"/>
    <d v="2025-04-08T00:00:00"/>
    <x v="1"/>
    <x v="5"/>
    <s v="P112"/>
    <x v="3"/>
    <s v="Small Business"/>
    <n v="3"/>
    <n v="0.2"/>
    <s v="UPI"/>
    <s v="No"/>
    <n v="5"/>
    <s v="Portable HDD 2TB"/>
    <x v="2"/>
    <n v="5899"/>
    <s v="OK"/>
    <n v="4100"/>
    <n v="17697"/>
    <n v="3539.4"/>
    <n v="14157.6"/>
    <n v="12300"/>
    <n v="1857.6000000000004"/>
    <n v="0.13120867943719278"/>
    <n v="7"/>
    <x v="6"/>
    <s v="Medium"/>
  </r>
  <r>
    <s v="ORD-5343"/>
    <d v="2025-01-28T00:00:00"/>
    <d v="2025-01-31T00:00:00"/>
    <x v="2"/>
    <x v="0"/>
    <s v="P104"/>
    <x v="2"/>
    <s v="Small Business"/>
    <n v="3"/>
    <n v="0.1"/>
    <s v="Cash on Delivery"/>
    <s v="No"/>
    <n v="3"/>
    <s v="USB-C Hub"/>
    <x v="3"/>
    <n v="1599"/>
    <s v="OK"/>
    <n v="870"/>
    <n v="4797"/>
    <n v="479.70000000000005"/>
    <n v="4317.3"/>
    <n v="2610"/>
    <n v="1707.3000000000002"/>
    <n v="0.39545549301646865"/>
    <n v="3"/>
    <x v="11"/>
    <s v="Low"/>
  </r>
  <r>
    <s v="ORD-5344"/>
    <d v="2025-06-23T00:00:00"/>
    <d v="2025-06-24T00:00:00"/>
    <x v="3"/>
    <x v="1"/>
    <s v="P104"/>
    <x v="3"/>
    <s v="Corporate"/>
    <n v="5"/>
    <n v="0"/>
    <s v="Credit Card"/>
    <s v="No"/>
    <n v="5"/>
    <s v="USB-C Hub"/>
    <x v="3"/>
    <n v="1599"/>
    <s v="OK"/>
    <n v="870"/>
    <n v="7995"/>
    <n v="0"/>
    <n v="7995"/>
    <n v="4350"/>
    <n v="3645"/>
    <n v="0.45590994371482174"/>
    <n v="1"/>
    <x v="3"/>
    <s v="Low"/>
  </r>
  <r>
    <s v="ORD-5345"/>
    <d v="2025-09-08T00:00:00"/>
    <d v="2025-09-09T00:00:00"/>
    <x v="4"/>
    <x v="2"/>
    <s v="P110"/>
    <x v="0"/>
    <s v="Small Business"/>
    <n v="5"/>
    <n v="0.05"/>
    <s v="UPI"/>
    <s v="No"/>
    <n v="4"/>
    <s v="LED Desk Lamp"/>
    <x v="0"/>
    <n v="1999"/>
    <s v="OK"/>
    <n v="1050"/>
    <n v="9995"/>
    <n v="499.75"/>
    <n v="9495.25"/>
    <n v="5250"/>
    <n v="4245.25"/>
    <n v="0.44709196703614967"/>
    <n v="1"/>
    <x v="9"/>
    <s v="Low"/>
  </r>
  <r>
    <s v="ORD-5346"/>
    <d v="2025-07-15T00:00:00"/>
    <d v="2025-07-17T00:00:00"/>
    <x v="0"/>
    <x v="3"/>
    <s v="P112"/>
    <x v="3"/>
    <s v="Small Business"/>
    <n v="3"/>
    <n v="0.05"/>
    <s v="Cash on Delivery"/>
    <s v="No"/>
    <n v="4"/>
    <s v="Portable HDD 2TB"/>
    <x v="2"/>
    <n v="5899"/>
    <s v="OK"/>
    <n v="4100"/>
    <n v="17697"/>
    <n v="884.85"/>
    <n v="16812.150000000001"/>
    <n v="12300"/>
    <n v="4512.1500000000015"/>
    <n v="0.26838625636816238"/>
    <n v="2"/>
    <x v="2"/>
    <s v="Medium"/>
  </r>
  <r>
    <s v="ORD-5347"/>
    <d v="2025-09-19T00:00:00"/>
    <d v="2025-09-23T00:00:00"/>
    <x v="1"/>
    <x v="4"/>
    <s v="P104"/>
    <x v="0"/>
    <s v="Consumer"/>
    <n v="4"/>
    <n v="0.2"/>
    <s v="Credit Card"/>
    <s v="No"/>
    <n v="3"/>
    <s v="USB-C Hub"/>
    <x v="3"/>
    <n v="1599"/>
    <s v="OK"/>
    <n v="870"/>
    <n v="6396"/>
    <n v="1279.2"/>
    <n v="5116.8"/>
    <n v="3480"/>
    <n v="1636.8000000000002"/>
    <n v="0.31988742964352723"/>
    <n v="4"/>
    <x v="9"/>
    <s v="Low"/>
  </r>
  <r>
    <s v="ORD-5348"/>
    <d v="2025-11-27T00:00:00"/>
    <d v="2025-11-29T00:00:00"/>
    <x v="2"/>
    <x v="5"/>
    <s v="P103"/>
    <x v="0"/>
    <s v="Small Business"/>
    <n v="4"/>
    <n v="0"/>
    <s v="Credit Card"/>
    <s v="No"/>
    <n v="5"/>
    <s v="HD Webcam"/>
    <x v="3"/>
    <n v="2899"/>
    <s v="OK"/>
    <n v="1700"/>
    <n v="11596"/>
    <n v="0"/>
    <n v="11596"/>
    <n v="6800"/>
    <n v="4796"/>
    <n v="0.41359089341152122"/>
    <n v="2"/>
    <x v="1"/>
    <s v="Medium"/>
  </r>
  <r>
    <s v="ORD-5349"/>
    <d v="2025-06-17T00:00:00"/>
    <d v="2025-06-24T00:00:00"/>
    <x v="3"/>
    <x v="0"/>
    <s v="P112"/>
    <x v="3"/>
    <s v="Consumer"/>
    <n v="3"/>
    <n v="0.1"/>
    <s v="Debit Card"/>
    <s v="No"/>
    <n v="4"/>
    <s v="Portable HDD 2TB"/>
    <x v="2"/>
    <n v="5899"/>
    <s v="OK"/>
    <n v="4100"/>
    <n v="17697"/>
    <n v="1769.7"/>
    <n v="15927.3"/>
    <n v="12300"/>
    <n v="3627.2999999999993"/>
    <n v="0.22774104838861572"/>
    <n v="7"/>
    <x v="3"/>
    <s v="Medium"/>
  </r>
  <r>
    <s v="ORD-5350"/>
    <d v="2025-02-08T00:00:00"/>
    <d v="2025-02-12T00:00:00"/>
    <x v="5"/>
    <x v="1"/>
    <s v="P112"/>
    <x v="3"/>
    <s v="Corporate"/>
    <n v="5"/>
    <n v="0.1"/>
    <s v="UPI"/>
    <s v="No"/>
    <n v="5"/>
    <s v="Portable HDD 2TB"/>
    <x v="2"/>
    <n v="5899"/>
    <s v="OK"/>
    <n v="4100"/>
    <n v="29495"/>
    <n v="2949.5"/>
    <n v="26545.5"/>
    <n v="20500"/>
    <n v="6045.5"/>
    <n v="0.22774104838861578"/>
    <n v="4"/>
    <x v="5"/>
    <s v="High"/>
  </r>
  <r>
    <s v="ORD-5351"/>
    <d v="2025-07-20T00:00:00"/>
    <d v="2025-07-22T00:00:00"/>
    <x v="0"/>
    <x v="2"/>
    <s v="P101"/>
    <x v="3"/>
    <s v="Corporate"/>
    <n v="2"/>
    <n v="0"/>
    <s v="UPI"/>
    <s v="No"/>
    <n v="4"/>
    <s v="Wireless Mouse"/>
    <x v="3"/>
    <n v="799"/>
    <s v="OK"/>
    <n v="420"/>
    <n v="1598"/>
    <n v="0"/>
    <n v="1598"/>
    <n v="840"/>
    <n v="758"/>
    <n v="0.47434292866082606"/>
    <n v="2"/>
    <x v="2"/>
    <s v="Low"/>
  </r>
  <r>
    <s v="ORD-5352"/>
    <d v="2025-11-15T00:00:00"/>
    <d v="2025-11-22T00:00:00"/>
    <x v="1"/>
    <x v="3"/>
    <s v="P107"/>
    <x v="0"/>
    <s v="Small Business"/>
    <n v="3"/>
    <n v="0.15"/>
    <s v="UPI"/>
    <s v="No"/>
    <n v="3"/>
    <s v="Laptop Stand"/>
    <x v="3"/>
    <n v="1899"/>
    <s v="OK"/>
    <n v="980"/>
    <n v="5697"/>
    <n v="854.55"/>
    <n v="4842.45"/>
    <n v="2940"/>
    <n v="1902.4499999999998"/>
    <n v="0.39286931202180714"/>
    <n v="7"/>
    <x v="1"/>
    <s v="Low"/>
  </r>
  <r>
    <s v="ORD-5353"/>
    <d v="2025-08-21T00:00:00"/>
    <d v="2025-08-27T00:00:00"/>
    <x v="2"/>
    <x v="4"/>
    <s v="P108"/>
    <x v="1"/>
    <s v="Consumer"/>
    <n v="3"/>
    <n v="0.2"/>
    <s v="Net Banking"/>
    <s v="Yes"/>
    <n v="3"/>
    <s v="SSD 1TB"/>
    <x v="2"/>
    <n v="6999"/>
    <s v="OK"/>
    <n v="4900"/>
    <n v="20997"/>
    <n v="4199.4000000000005"/>
    <n v="16797.599999999999"/>
    <n v="14700"/>
    <n v="2097.5999999999985"/>
    <n v="0.12487498214030568"/>
    <n v="6"/>
    <x v="7"/>
    <s v="Medium"/>
  </r>
  <r>
    <s v="ORD-5354"/>
    <d v="2025-04-03T00:00:00"/>
    <d v="2025-04-07T00:00:00"/>
    <x v="3"/>
    <x v="5"/>
    <s v="P105"/>
    <x v="2"/>
    <s v="Corporate"/>
    <n v="1"/>
    <n v="0.1"/>
    <s v="UPI"/>
    <s v="No"/>
    <n v="3"/>
    <s v="24-inch Monitor"/>
    <x v="4"/>
    <n v="12999"/>
    <s v="OK"/>
    <n v="9100"/>
    <n v="12999"/>
    <n v="1299.9000000000001"/>
    <n v="11699.1"/>
    <n v="9100"/>
    <n v="2599.1000000000004"/>
    <n v="0.22216238855980378"/>
    <n v="4"/>
    <x v="6"/>
    <s v="Medium"/>
  </r>
  <r>
    <s v="ORD-5355"/>
    <d v="2025-07-20T00:00:00"/>
    <d v="2025-07-22T00:00:00"/>
    <x v="4"/>
    <x v="0"/>
    <s v="P103"/>
    <x v="2"/>
    <s v="Corporate"/>
    <n v="2"/>
    <n v="0.15"/>
    <s v="Net Banking"/>
    <s v="No"/>
    <n v="5"/>
    <s v="HD Webcam"/>
    <x v="3"/>
    <n v="2899"/>
    <s v="OK"/>
    <n v="1700"/>
    <n v="5798"/>
    <n v="869.69999999999993"/>
    <n v="4928.3"/>
    <n v="3400"/>
    <n v="1528.3000000000002"/>
    <n v="0.31010693342531909"/>
    <n v="2"/>
    <x v="2"/>
    <s v="Low"/>
  </r>
  <r>
    <s v="ORD-5356"/>
    <d v="2025-05-17T00:00:00"/>
    <d v="2025-05-20T00:00:00"/>
    <x v="0"/>
    <x v="1"/>
    <s v="P110"/>
    <x v="0"/>
    <s v="Small Business"/>
    <n v="2"/>
    <n v="0.05"/>
    <s v="Debit Card"/>
    <s v="No"/>
    <n v="4"/>
    <s v="LED Desk Lamp"/>
    <x v="0"/>
    <n v="1999"/>
    <s v="OK"/>
    <n v="1050"/>
    <n v="3998"/>
    <n v="199.9"/>
    <n v="3798.1"/>
    <n v="2100"/>
    <n v="1698.1"/>
    <n v="0.44709196703614962"/>
    <n v="3"/>
    <x v="0"/>
    <s v="Low"/>
  </r>
  <r>
    <s v="ORD-5357"/>
    <d v="2025-08-12T00:00:00"/>
    <d v="2025-08-15T00:00:00"/>
    <x v="1"/>
    <x v="2"/>
    <s v="P111"/>
    <x v="0"/>
    <s v="Consumer"/>
    <n v="4"/>
    <n v="0.15"/>
    <s v="Net Banking"/>
    <s v="No"/>
    <n v="3"/>
    <s v="Bluetooth Speaker"/>
    <x v="1"/>
    <n v="2799"/>
    <s v="OK"/>
    <n v="1650"/>
    <n v="11196"/>
    <n v="1679.3999999999999"/>
    <n v="9516.6"/>
    <n v="6600"/>
    <n v="2916.6000000000004"/>
    <n v="0.30647500157619323"/>
    <n v="3"/>
    <x v="7"/>
    <s v="Low"/>
  </r>
  <r>
    <s v="ORD-5358"/>
    <d v="2025-06-11T00:00:00"/>
    <d v="2025-06-18T00:00:00"/>
    <x v="2"/>
    <x v="3"/>
    <s v="P111"/>
    <x v="3"/>
    <s v="Corporate"/>
    <n v="2"/>
    <n v="0"/>
    <s v="Net Banking"/>
    <s v="No"/>
    <n v="5"/>
    <s v="Bluetooth Speaker"/>
    <x v="1"/>
    <n v="2799"/>
    <s v="OK"/>
    <n v="1650"/>
    <n v="5598"/>
    <n v="0"/>
    <n v="5598"/>
    <n v="3300"/>
    <n v="2298"/>
    <n v="0.41050375133976419"/>
    <n v="7"/>
    <x v="3"/>
    <s v="Low"/>
  </r>
  <r>
    <s v="ORD-5359"/>
    <d v="2025-02-04T00:00:00"/>
    <d v="2025-02-06T00:00:00"/>
    <x v="3"/>
    <x v="4"/>
    <s v="P111"/>
    <x v="1"/>
    <s v="Consumer"/>
    <n v="3"/>
    <n v="0"/>
    <s v="UPI"/>
    <s v="No"/>
    <n v="5"/>
    <s v="Bluetooth Speaker"/>
    <x v="1"/>
    <n v="2799"/>
    <s v="OK"/>
    <n v="1650"/>
    <n v="8397"/>
    <n v="0"/>
    <n v="8397"/>
    <n v="4950"/>
    <n v="3447"/>
    <n v="0.41050375133976419"/>
    <n v="2"/>
    <x v="5"/>
    <s v="Low"/>
  </r>
  <r>
    <s v="ORD-5360"/>
    <d v="2025-08-08T00:00:00"/>
    <d v="2025-08-11T00:00:00"/>
    <x v="4"/>
    <x v="5"/>
    <s v="P108"/>
    <x v="3"/>
    <s v="Corporate"/>
    <n v="3"/>
    <n v="0.15"/>
    <s v="UPI"/>
    <s v="No"/>
    <n v="3"/>
    <s v="SSD 1TB"/>
    <x v="2"/>
    <n v="6999"/>
    <s v="OK"/>
    <n v="4900"/>
    <n v="20997"/>
    <n v="3149.5499999999997"/>
    <n v="17847.45"/>
    <n v="14700"/>
    <n v="3147.4500000000007"/>
    <n v="0.17635292436734662"/>
    <n v="3"/>
    <x v="7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DA4A6-1BED-4CAC-8AC0-7B73AF31CEB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6" firstHeaderRow="0" firstDataRow="1" firstDataCol="1"/>
  <pivotFields count="29">
    <pivotField showAll="0"/>
    <pivotField numFmtId="165" showAll="0"/>
    <pivotField numFmtId="165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numFmtId="1" showAll="0"/>
    <pivotField numFmtId="9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67" showAll="0">
      <items count="13">
        <item x="11"/>
        <item x="5"/>
        <item x="8"/>
        <item x="6"/>
        <item x="0"/>
        <item x="3"/>
        <item x="2"/>
        <item x="7"/>
        <item x="9"/>
        <item x="10"/>
        <item x="1"/>
        <item x="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Revenue" fld="20" baseField="6" baseItem="0"/>
    <dataField name="Sum of Profit" fld="22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E5CA0-FAAC-470C-BBF5-063AD5E67D6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I1:K7" firstHeaderRow="0" firstDataRow="1" firstDataCol="1"/>
  <pivotFields count="29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" showAll="0"/>
    <pivotField numFmtId="9" showAll="0"/>
    <pivotField showAll="0"/>
    <pivotField showAll="0"/>
    <pivotField numFmtId="1" showAll="0"/>
    <pivotField showAll="0"/>
    <pivotField axis="axisRow" showAll="0">
      <items count="7">
        <item x="3"/>
        <item x="1"/>
        <item x="4"/>
        <item x="0"/>
        <item h="1" x="5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67" showAll="0">
      <items count="13">
        <item x="11"/>
        <item x="5"/>
        <item x="8"/>
        <item x="6"/>
        <item x="0"/>
        <item x="3"/>
        <item x="2"/>
        <item x="7"/>
        <item x="9"/>
        <item x="10"/>
        <item x="1"/>
        <item x="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Revenue" fld="20" baseField="14" baseItem="0"/>
    <dataField name="Sum of Profit" fld="22" baseField="14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D7EAA-91AF-4FC3-BEF5-E8D41CF5E9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E1:G8" firstHeaderRow="0" firstDataRow="1" firstDataCol="1"/>
  <pivotFields count="29">
    <pivotField showAll="0"/>
    <pivotField numFmtId="165" showAll="0"/>
    <pivotField numFmtId="165" showAll="0"/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showAll="0"/>
    <pivotField showAll="0"/>
    <pivotField showAll="0"/>
    <pivotField numFmtId="1" showAll="0"/>
    <pivotField numFmtId="9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67" showAll="0">
      <items count="13">
        <item x="11"/>
        <item x="5"/>
        <item x="8"/>
        <item x="6"/>
        <item x="0"/>
        <item x="3"/>
        <item x="2"/>
        <item x="7"/>
        <item x="9"/>
        <item x="10"/>
        <item x="1"/>
        <item x="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Revenue" fld="20" baseField="3" baseItem="0"/>
    <dataField name="Sum of Profit" fld="22" baseField="3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B2C57-4407-4B81-BFF4-EA15BECEDA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C14" firstHeaderRow="0" firstDataRow="1" firstDataCol="1"/>
  <pivotFields count="29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" showAll="0"/>
    <pivotField numFmtId="9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numFmtId="167" showAll="0">
      <items count="13">
        <item x="11"/>
        <item x="5"/>
        <item x="8"/>
        <item x="6"/>
        <item x="0"/>
        <item x="3"/>
        <item x="2"/>
        <item x="7"/>
        <item x="9"/>
        <item x="10"/>
        <item x="1"/>
        <item x="4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Revenue" fld="20" baseField="28" baseItem="1"/>
    <dataField name="Sum of Profit" fld="22" baseField="28" baseItem="1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BDE65-316A-4D26-AC0F-647B692C743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Q1:S8" firstHeaderRow="0" firstDataRow="1" firstDataCol="1"/>
  <pivotFields count="29">
    <pivotField showAll="0"/>
    <pivotField numFmtId="165" showAll="0"/>
    <pivotField numFmtId="165" showAll="0"/>
    <pivotField showAll="0"/>
    <pivotField axis="axisRow" showAll="0">
      <items count="7">
        <item x="0"/>
        <item x="5"/>
        <item x="2"/>
        <item x="1"/>
        <item x="4"/>
        <item x="3"/>
        <item t="default"/>
      </items>
    </pivotField>
    <pivotField showAll="0"/>
    <pivotField showAll="0"/>
    <pivotField showAll="0"/>
    <pivotField numFmtId="1" showAll="0"/>
    <pivotField numFmtId="9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67" showAll="0">
      <items count="13">
        <item x="11"/>
        <item x="5"/>
        <item x="8"/>
        <item x="6"/>
        <item x="0"/>
        <item x="3"/>
        <item x="2"/>
        <item x="7"/>
        <item x="9"/>
        <item x="10"/>
        <item x="1"/>
        <item x="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Revenue" fld="20" baseField="4" baseItem="0"/>
    <dataField name="Sum of Profit" fld="2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1E503-271B-4C84-B10D-13237465C61C}" name="RawSalesTable5" displayName="RawSalesTable5" ref="A1:AA361" totalsRowShown="0">
  <tableColumns count="27">
    <tableColumn id="1" xr3:uid="{184F07B3-CC3F-40E2-8ED0-5638329E5400}" name="Order_ID"/>
    <tableColumn id="2" xr3:uid="{D6487347-9ABD-4FDA-9BAA-C77CE5EBE7B6}" name="Order_Date"/>
    <tableColumn id="3" xr3:uid="{05FF17B9-7C21-4ACC-BE96-8BCED635C2DC}" name="Ship_Date"/>
    <tableColumn id="4" xr3:uid="{95357C80-95F3-4A28-B616-ABB710BCEE2F}" name="City"/>
    <tableColumn id="5" xr3:uid="{7201C760-830D-4E46-8355-44C434F0C554}" name="Salesperson"/>
    <tableColumn id="6" xr3:uid="{E6BBEA28-8934-42FD-AB31-983AE6E77FC4}" name="Product_Code"/>
    <tableColumn id="7" xr3:uid="{83C271D3-ECDD-46F1-8549-180D3C01F690}" name="Sales_Channel"/>
    <tableColumn id="8" xr3:uid="{CEB14749-259D-421E-8940-D7B40F3A9D68}" name="Customer_Segment"/>
    <tableColumn id="9" xr3:uid="{4F840918-AE01-4D51-850F-2B413D68F4A1}" name="Quantity"/>
    <tableColumn id="10" xr3:uid="{495E483B-D36B-453A-AAF0-C89B5DF2440E}" name="Discount_Pct"/>
    <tableColumn id="11" xr3:uid="{CFDBB0FE-541B-4270-A48F-158A86E8FEE2}" name="Payment_Mode"/>
    <tableColumn id="12" xr3:uid="{A6347A94-1228-44DC-923A-8556A316A560}" name="Returned"/>
    <tableColumn id="13" xr3:uid="{641756E4-282A-4C66-B8C9-B6694E995D79}" name="Customer_Rating"/>
    <tableColumn id="14" xr3:uid="{EA4DBFA8-9FC1-401B-9696-F4944D51504E}" name="Product_Name" dataDxfId="18">
      <calculatedColumnFormula array="1">_xlfn.XLOOKUP(RawSalesTable5[[#This Row],[Product_Code]],ProductLookupTable[[#All],[Product_Code]],ProductLookupTable[[#All],[Product_Name]],"NOT FOUND")</calculatedColumnFormula>
    </tableColumn>
    <tableColumn id="15" xr3:uid="{439CF318-0065-456B-B432-01CCC6A76184}" name="Category" dataDxfId="17">
      <calculatedColumnFormula array="1">_xlfn.XLOOKUP(RawSalesTable5[[#This Row],[Product_Code]],ProductLookupTable[[#All],[Product_Code]],ProductLookupTable[[#All],[Category]],"NOT FOUND")</calculatedColumnFormula>
    </tableColumn>
    <tableColumn id="16" xr3:uid="{C85F7632-A798-4442-A539-5246BF15878E}" name="Unit_Price" dataDxfId="16">
      <calculatedColumnFormula array="1">_xlfn.XLOOKUP(RawSalesTable5[[#This Row],[Product_Code]],ProductLookupTable[[#All],[Product_Code]],ProductLookupTable[[#All],[Unit_Price]],"NOT FOUND")</calculatedColumnFormula>
    </tableColumn>
    <tableColumn id="23" xr3:uid="{597007AC-4A5E-4E79-89DA-F41492A1964E}" name="Lookup_Status" dataDxfId="15">
      <calculatedColumnFormula>IF(COUNTIF(ProductLookupTable[Product_Code],RawSalesTable5[[#This Row],[Product_Code]])=0,"Missing Product","OK")</calculatedColumnFormula>
    </tableColumn>
    <tableColumn id="17" xr3:uid="{1FF53995-3761-43D3-B2D7-1A485995BA3A}" name="Unit_Cost" dataDxfId="14">
      <calculatedColumnFormula array="1">_xlfn.XLOOKUP(RawSalesTable5[[#This Row],[Product_Code]],ProductLookupTable[[#All],[Product_Code]],ProductLookupTable[[#All],[Unit_Cost]],"NOT FOUND")</calculatedColumnFormula>
    </tableColumn>
    <tableColumn id="18" xr3:uid="{69802821-A734-4CDA-A7A8-722C906E1C25}" name="Gross_Revenue" dataDxfId="13">
      <calculatedColumnFormula>IFERROR(RawSalesTable5[[#This Row],[Quantity]]*RawSalesTable5[[#This Row],[Unit_Price]],"NOT FOUND")</calculatedColumnFormula>
    </tableColumn>
    <tableColumn id="19" xr3:uid="{8DEEBFF4-EB96-4955-8FE9-EAB12C759D4B}" name="Discount_Value" dataDxfId="12">
      <calculatedColumnFormula>IFERROR(RawSalesTable5[[#This Row],[Gross_Revenue]]*RawSalesTable5[[#This Row],[Discount_Pct]],"NOT FOUND")</calculatedColumnFormula>
    </tableColumn>
    <tableColumn id="20" xr3:uid="{E1C2E2A2-B06D-4C9C-B4A7-83A12DBCA876}" name="Net_Revenue" dataDxfId="11">
      <calculatedColumnFormula>IFERROR(RawSalesTable5[[#This Row],[Gross_Revenue]]-RawSalesTable5[[#This Row],[Discount_Value]],"NOT FOUND")</calculatedColumnFormula>
    </tableColumn>
    <tableColumn id="21" xr3:uid="{EAEAE6EB-8B9B-4032-A353-8C8AFCEEE89F}" name="Cost" dataDxfId="10">
      <calculatedColumnFormula>IFERROR(RawSalesTable5[[#This Row],[Quantity]]*RawSalesTable5[[#This Row],[Unit_Cost]],"NOT FOUND")</calculatedColumnFormula>
    </tableColumn>
    <tableColumn id="22" xr3:uid="{DB8F93D8-F0A9-411C-A3BA-7DC5250ABB6C}" name="Profit" dataDxfId="9">
      <calculatedColumnFormula>IFERROR(RawSalesTable5[[#This Row],[Net_Revenue]]-RawSalesTable5[[#This Row],[Cost]],"NOT FOUND")</calculatedColumnFormula>
    </tableColumn>
    <tableColumn id="24" xr3:uid="{4DD6BE30-8585-4F95-9560-06DDF9F92FCE}" name="Profit_Margin" dataDxfId="8">
      <calculatedColumnFormula>IF(RawSalesTable5[[#This Row],[Lookup_Status]]="Missing Product","",IFERROR(RawSalesTable5[[#This Row],[Profit]]/RawSalesTable5[[#This Row],[Net_Revenue]],0))</calculatedColumnFormula>
    </tableColumn>
    <tableColumn id="25" xr3:uid="{D31904DA-E08D-48E1-A26C-BEF823E86707}" name="Delivery_Days" dataDxfId="7">
      <calculatedColumnFormula>RawSalesTable5[[#This Row],[Ship_Date]]-RawSalesTable5[[#This Row],[Order_Date]]</calculatedColumnFormula>
    </tableColumn>
    <tableColumn id="30" xr3:uid="{B313D9A9-B44C-4C95-A36C-9209FCD3DFBA}" name="Month" dataDxfId="6">
      <calculatedColumnFormula>DATE(YEAR(RawSalesTable5[[#This Row],[Order_Date]]),MONTH(RawSalesTable5[[#This Row],[Order_Date]]),1)</calculatedColumnFormula>
    </tableColumn>
    <tableColumn id="27" xr3:uid="{06E73B7D-11D2-4AFC-B398-9CCE75D8BF1D}" name="Order_Band" dataDxfId="5">
      <calculatedColumnFormula array="1">IF(RawSalesTable5[[#This Row],[Lookup_Status]]="Missing Product","",_xlfn.IFS(RawSalesTable5[[#This Row],[Net_Revenue]]&gt;=20000,"High",RawSalesTable5[[#This Row],[Net_Revenue]]&gt;=10000,"Medium",TRUE,"Low"))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awSalesTable" displayName="RawSalesTable" ref="A1:M367" totalsRowShown="0">
  <tableColumns count="13">
    <tableColumn id="1" xr3:uid="{00000000-0010-0000-0000-000001000000}" name="Order_ID"/>
    <tableColumn id="2" xr3:uid="{00000000-0010-0000-0000-000002000000}" name="Order_Date"/>
    <tableColumn id="3" xr3:uid="{00000000-0010-0000-0000-000003000000}" name="Ship_Date"/>
    <tableColumn id="4" xr3:uid="{00000000-0010-0000-0000-000004000000}" name="City"/>
    <tableColumn id="5" xr3:uid="{00000000-0010-0000-0000-000005000000}" name="Salesperson"/>
    <tableColumn id="6" xr3:uid="{00000000-0010-0000-0000-000006000000}" name="Product_Code"/>
    <tableColumn id="7" xr3:uid="{00000000-0010-0000-0000-000007000000}" name="Sales_Channel"/>
    <tableColumn id="8" xr3:uid="{00000000-0010-0000-0000-000008000000}" name="Customer_Segment"/>
    <tableColumn id="9" xr3:uid="{00000000-0010-0000-0000-000009000000}" name="Quantity"/>
    <tableColumn id="10" xr3:uid="{00000000-0010-0000-0000-00000A000000}" name="Discount_Pct"/>
    <tableColumn id="11" xr3:uid="{00000000-0010-0000-0000-00000B000000}" name="Payment_Mode"/>
    <tableColumn id="12" xr3:uid="{00000000-0010-0000-0000-00000C000000}" name="Returned"/>
    <tableColumn id="13" xr3:uid="{00000000-0010-0000-0000-00000D000000}" name="Customer_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alesTargetsTable" displayName="SalesTargetsTable" ref="A3:C9" totalsRowShown="0">
  <tableColumns count="3">
    <tableColumn id="1" xr3:uid="{00000000-0010-0000-0200-000001000000}" name="Salesperson"/>
    <tableColumn id="2" xr3:uid="{00000000-0010-0000-0200-000002000000}" name="Monthly_Revenue_Target"/>
    <tableColumn id="3" xr3:uid="{00000000-0010-0000-0200-000003000000}" name="Monthly_Profit_Tar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D70CB0-5E64-4E92-BDAE-BC731504279E}" name="Table10" displayName="Table10" ref="D3:F9" totalsRowShown="0" headerRowDxfId="4">
  <autoFilter ref="D3:F9" xr:uid="{E0D70CB0-5E64-4E92-BDAE-BC731504279E}"/>
  <tableColumns count="3">
    <tableColumn id="1" xr3:uid="{EE986BD9-9926-401C-AC83-95AAFD17C52A}" name="Salesperson" dataDxfId="3">
      <calculatedColumnFormula>A4</calculatedColumnFormula>
    </tableColumn>
    <tableColumn id="2" xr3:uid="{51748452-15A6-4BAF-AC3D-320752431348}" name="Actual Monthly Revenue" dataDxfId="2">
      <calculatedColumnFormula>_xlfn.XLOOKUP(D4,Pivot_Analysis!$Q$2:$Q$7,Pivot_Analysis!$R$2:$R$7,0)/12</calculatedColumnFormula>
    </tableColumn>
    <tableColumn id="3" xr3:uid="{59AEA20A-3BF4-4D7D-B799-BE00FB57CD83}" name="Monthly Revenue Target" dataDxfId="1">
      <calculatedColumnFormula>_xlfn.XLOOKUP(D4,$A$4:$A$9,$B$4:$B$9,0)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LookupTable" displayName="ProductLookupTable" ref="A3:E15" totalsRowShown="0"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opLeftCell="A3" workbookViewId="0">
      <selection activeCell="B12" sqref="B12"/>
    </sheetView>
  </sheetViews>
  <sheetFormatPr defaultRowHeight="13.8"/>
  <cols>
    <col min="1" max="1" width="9" customWidth="1"/>
    <col min="2" max="2" width="11" customWidth="1"/>
    <col min="3" max="3" width="38" customWidth="1"/>
    <col min="4" max="4" width="25" customWidth="1"/>
    <col min="5" max="5" width="18" customWidth="1"/>
    <col min="6" max="6" width="12" customWidth="1"/>
    <col min="7" max="7" width="14" customWidth="1"/>
    <col min="8" max="8" width="20" customWidth="1"/>
  </cols>
  <sheetData>
    <row r="1" spans="1:8" ht="31.95" customHeight="1">
      <c r="A1" s="75" t="s">
        <v>0</v>
      </c>
      <c r="B1" s="75"/>
      <c r="C1" s="75"/>
      <c r="D1" s="75"/>
      <c r="E1" s="75"/>
      <c r="F1" s="75"/>
      <c r="G1" s="75"/>
      <c r="H1" s="75"/>
    </row>
    <row r="3" spans="1:8" ht="30" customHeight="1">
      <c r="A3" s="76" t="s">
        <v>1</v>
      </c>
      <c r="B3" s="76"/>
      <c r="C3" s="76"/>
      <c r="D3" s="76"/>
      <c r="E3" s="76"/>
      <c r="F3" s="76"/>
      <c r="G3" s="76"/>
      <c r="H3" s="76"/>
    </row>
    <row r="5" spans="1:8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27.6">
      <c r="A6" s="2">
        <v>1</v>
      </c>
      <c r="B6" s="11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532</v>
      </c>
      <c r="H6" s="4" t="s">
        <v>16</v>
      </c>
    </row>
    <row r="7" spans="1:8">
      <c r="A7" s="5">
        <v>1</v>
      </c>
      <c r="B7" s="12" t="s">
        <v>10</v>
      </c>
      <c r="C7" s="6" t="s">
        <v>17</v>
      </c>
      <c r="D7" s="6" t="s">
        <v>18</v>
      </c>
      <c r="E7" s="6" t="s">
        <v>19</v>
      </c>
      <c r="F7" s="6" t="s">
        <v>14</v>
      </c>
      <c r="G7" s="6" t="s">
        <v>532</v>
      </c>
      <c r="H7" s="7" t="s">
        <v>20</v>
      </c>
    </row>
    <row r="8" spans="1:8" ht="27.6">
      <c r="A8" s="5">
        <v>1</v>
      </c>
      <c r="B8" s="12" t="s">
        <v>10</v>
      </c>
      <c r="C8" s="6" t="s">
        <v>21</v>
      </c>
      <c r="D8" s="6" t="s">
        <v>22</v>
      </c>
      <c r="E8" s="6" t="s">
        <v>23</v>
      </c>
      <c r="F8" s="6" t="s">
        <v>24</v>
      </c>
      <c r="G8" s="6" t="s">
        <v>532</v>
      </c>
      <c r="H8" s="7" t="s">
        <v>25</v>
      </c>
    </row>
    <row r="9" spans="1:8" ht="27.6">
      <c r="A9" s="5">
        <v>1</v>
      </c>
      <c r="B9" s="12" t="s">
        <v>10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532</v>
      </c>
      <c r="H9" s="7" t="s">
        <v>30</v>
      </c>
    </row>
    <row r="10" spans="1:8" ht="27.6">
      <c r="A10" s="5">
        <v>1</v>
      </c>
      <c r="B10" s="12" t="s">
        <v>10</v>
      </c>
      <c r="C10" s="6" t="s">
        <v>31</v>
      </c>
      <c r="D10" s="6" t="s">
        <v>32</v>
      </c>
      <c r="E10" s="6" t="s">
        <v>33</v>
      </c>
      <c r="F10" s="6" t="s">
        <v>14</v>
      </c>
      <c r="G10" s="6" t="s">
        <v>532</v>
      </c>
      <c r="H10" s="7" t="s">
        <v>34</v>
      </c>
    </row>
    <row r="11" spans="1:8" ht="27.6">
      <c r="A11" s="5">
        <v>1</v>
      </c>
      <c r="B11" s="12" t="s">
        <v>10</v>
      </c>
      <c r="C11" s="6" t="s">
        <v>35</v>
      </c>
      <c r="D11" s="6" t="s">
        <v>36</v>
      </c>
      <c r="E11" s="6" t="s">
        <v>37</v>
      </c>
      <c r="F11" s="6" t="s">
        <v>29</v>
      </c>
      <c r="G11" s="6" t="s">
        <v>532</v>
      </c>
      <c r="H11" s="7" t="s">
        <v>38</v>
      </c>
    </row>
    <row r="12" spans="1:8" ht="27.6">
      <c r="A12" s="5">
        <v>2</v>
      </c>
      <c r="B12" s="12" t="s">
        <v>39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532</v>
      </c>
      <c r="H12" s="7" t="s">
        <v>44</v>
      </c>
    </row>
    <row r="13" spans="1:8" ht="27.6">
      <c r="A13" s="5">
        <v>2</v>
      </c>
      <c r="B13" s="12" t="s">
        <v>39</v>
      </c>
      <c r="C13" s="6" t="s">
        <v>45</v>
      </c>
      <c r="D13" s="6" t="s">
        <v>46</v>
      </c>
      <c r="E13" s="6" t="s">
        <v>47</v>
      </c>
      <c r="F13" s="6" t="s">
        <v>48</v>
      </c>
      <c r="G13" s="6" t="s">
        <v>532</v>
      </c>
      <c r="H13" s="7" t="s">
        <v>49</v>
      </c>
    </row>
    <row r="14" spans="1:8" ht="27.6">
      <c r="A14" s="5">
        <v>2</v>
      </c>
      <c r="B14" s="12" t="s">
        <v>39</v>
      </c>
      <c r="C14" s="6" t="s">
        <v>50</v>
      </c>
      <c r="D14" s="6" t="s">
        <v>51</v>
      </c>
      <c r="E14" s="6" t="s">
        <v>52</v>
      </c>
      <c r="F14" s="6" t="s">
        <v>43</v>
      </c>
      <c r="G14" s="6" t="s">
        <v>532</v>
      </c>
      <c r="H14" s="7" t="s">
        <v>53</v>
      </c>
    </row>
    <row r="15" spans="1:8" ht="27.6">
      <c r="A15" s="5">
        <v>3</v>
      </c>
      <c r="B15" s="12" t="s">
        <v>39</v>
      </c>
      <c r="C15" s="6" t="s">
        <v>54</v>
      </c>
      <c r="D15" s="6" t="s">
        <v>55</v>
      </c>
      <c r="E15" s="6" t="s">
        <v>56</v>
      </c>
      <c r="F15" s="6" t="s">
        <v>48</v>
      </c>
      <c r="G15" s="6" t="s">
        <v>532</v>
      </c>
      <c r="H15" s="7" t="s">
        <v>57</v>
      </c>
    </row>
    <row r="16" spans="1:8" ht="27.6">
      <c r="A16" s="5">
        <v>3</v>
      </c>
      <c r="B16" s="12" t="s">
        <v>39</v>
      </c>
      <c r="C16" s="6" t="s">
        <v>58</v>
      </c>
      <c r="D16" s="6" t="s">
        <v>59</v>
      </c>
      <c r="E16" s="6" t="s">
        <v>60</v>
      </c>
      <c r="F16" s="6" t="s">
        <v>43</v>
      </c>
      <c r="G16" s="6" t="s">
        <v>532</v>
      </c>
      <c r="H16" s="7" t="s">
        <v>61</v>
      </c>
    </row>
    <row r="17" spans="1:8" ht="27.6">
      <c r="A17" s="8">
        <v>3</v>
      </c>
      <c r="B17" s="13" t="s">
        <v>62</v>
      </c>
      <c r="C17" s="9" t="s">
        <v>63</v>
      </c>
      <c r="D17" s="9" t="s">
        <v>64</v>
      </c>
      <c r="E17" s="9" t="s">
        <v>65</v>
      </c>
      <c r="F17" s="9" t="s">
        <v>48</v>
      </c>
      <c r="G17" s="9" t="s">
        <v>15</v>
      </c>
      <c r="H17" s="10" t="s">
        <v>66</v>
      </c>
    </row>
    <row r="20" spans="1:8" ht="30" customHeight="1">
      <c r="A20" s="77" t="s">
        <v>67</v>
      </c>
      <c r="B20" s="77"/>
      <c r="C20" s="77"/>
      <c r="D20" s="77"/>
      <c r="E20" s="77"/>
      <c r="F20" s="77"/>
      <c r="G20" s="77"/>
      <c r="H20" s="77"/>
    </row>
    <row r="22" spans="1:8" ht="30" customHeight="1">
      <c r="A22" s="78" t="s">
        <v>68</v>
      </c>
      <c r="B22" s="78"/>
      <c r="C22" s="78"/>
      <c r="D22" s="78"/>
      <c r="E22" s="78"/>
      <c r="F22" s="78"/>
      <c r="G22" s="78"/>
      <c r="H22" s="78"/>
    </row>
  </sheetData>
  <mergeCells count="4">
    <mergeCell ref="A1:H1"/>
    <mergeCell ref="A3:H3"/>
    <mergeCell ref="A20:H20"/>
    <mergeCell ref="A22:H22"/>
  </mergeCells>
  <conditionalFormatting sqref="G6:G17">
    <cfRule type="containsText" dxfId="0" priority="1" operator="containsText" text="Done"/>
  </conditionalFormatting>
  <dataValidations count="1">
    <dataValidation type="list" sqref="G6:G17" xr:uid="{00000000-0002-0000-0000-000000000000}">
      <formula1>"Not Started,In Progress,Done,Blocked"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ED76-3943-4570-A83D-C71D0D2C22FB}">
  <dimension ref="A1:AA361"/>
  <sheetViews>
    <sheetView showGridLines="0" workbookViewId="0">
      <selection activeCell="Z4" sqref="Z4"/>
    </sheetView>
  </sheetViews>
  <sheetFormatPr defaultRowHeight="13.8"/>
  <cols>
    <col min="1" max="1" width="15" customWidth="1"/>
    <col min="2" max="3" width="13" customWidth="1"/>
    <col min="4" max="4" width="16" customWidth="1"/>
    <col min="5" max="6" width="15" customWidth="1"/>
    <col min="7" max="7" width="17" customWidth="1"/>
    <col min="8" max="8" width="19" customWidth="1"/>
    <col min="9" max="9" width="11" customWidth="1"/>
    <col min="10" max="10" width="13" customWidth="1"/>
    <col min="11" max="11" width="18" customWidth="1"/>
    <col min="12" max="12" width="11" customWidth="1"/>
    <col min="13" max="13" width="17" customWidth="1"/>
    <col min="14" max="14" width="18.19921875" customWidth="1"/>
    <col min="15" max="15" width="14.09765625" customWidth="1"/>
    <col min="16" max="17" width="17.3984375" customWidth="1"/>
    <col min="18" max="18" width="17.09765625" customWidth="1"/>
    <col min="19" max="19" width="17.5" customWidth="1"/>
    <col min="20" max="20" width="17.59765625" customWidth="1"/>
    <col min="21" max="21" width="19.796875" customWidth="1"/>
    <col min="22" max="22" width="14.19921875" customWidth="1"/>
    <col min="23" max="23" width="12.3984375" customWidth="1"/>
    <col min="24" max="24" width="18.5" customWidth="1"/>
    <col min="25" max="26" width="17.59765625" customWidth="1"/>
    <col min="27" max="27" width="24.5" customWidth="1"/>
  </cols>
  <sheetData>
    <row r="1" spans="1:27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495</v>
      </c>
      <c r="O1" t="s">
        <v>496</v>
      </c>
      <c r="P1" t="s">
        <v>497</v>
      </c>
      <c r="Q1" t="s">
        <v>537</v>
      </c>
      <c r="R1" t="s">
        <v>498</v>
      </c>
      <c r="S1" t="s">
        <v>534</v>
      </c>
      <c r="T1" t="s">
        <v>533</v>
      </c>
      <c r="U1" t="s">
        <v>535</v>
      </c>
      <c r="V1" t="s">
        <v>536</v>
      </c>
      <c r="W1" t="s">
        <v>521</v>
      </c>
      <c r="X1" t="s">
        <v>538</v>
      </c>
      <c r="Y1" t="s">
        <v>539</v>
      </c>
      <c r="Z1" t="s">
        <v>540</v>
      </c>
      <c r="AA1" t="s">
        <v>541</v>
      </c>
    </row>
    <row r="2" spans="1:27">
      <c r="A2" t="s">
        <v>82</v>
      </c>
      <c r="B2" s="15">
        <v>45792</v>
      </c>
      <c r="C2" s="15">
        <v>45794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s="17">
        <v>2</v>
      </c>
      <c r="J2" s="16">
        <v>0</v>
      </c>
      <c r="K2" t="s">
        <v>88</v>
      </c>
      <c r="L2" t="s">
        <v>89</v>
      </c>
      <c r="M2" s="17">
        <v>4</v>
      </c>
      <c r="N2" t="str" cm="1">
        <f t="array" ref="N2">_xlfn.XLOOKUP(RawSalesTable5[[#This Row],[Product_Code]],ProductLookupTable[[#All],[Product_Code]],ProductLookupTable[[#All],[Product_Name]],"NOT FOUND")</f>
        <v>Ergonomic Chair</v>
      </c>
      <c r="O2" t="str" cm="1">
        <f t="array" ref="O2">_xlfn.XLOOKUP(RawSalesTable5[[#This Row],[Product_Code]],ProductLookupTable[[#All],[Product_Code]],ProductLookupTable[[#All],[Category]],"NOT FOUND")</f>
        <v>Furniture</v>
      </c>
      <c r="P2" cm="1">
        <f t="array" ref="P2">_xlfn.XLOOKUP(RawSalesTable5[[#This Row],[Product_Code]],ProductLookupTable[[#All],[Product_Code]],ProductLookupTable[[#All],[Unit_Price]],"NOT FOUND")</f>
        <v>10499</v>
      </c>
      <c r="Q2" t="str">
        <f>IF(COUNTIF(ProductLookupTable[Product_Code],RawSalesTable5[[#This Row],[Product_Code]])=0,"Missing Product","OK")</f>
        <v>OK</v>
      </c>
      <c r="R2" cm="1">
        <f t="array" ref="R2">_xlfn.XLOOKUP(RawSalesTable5[[#This Row],[Product_Code]],ProductLookupTable[[#All],[Product_Code]],ProductLookupTable[[#All],[Unit_Cost]],"NOT FOUND")</f>
        <v>7600</v>
      </c>
      <c r="S2">
        <f>IFERROR(RawSalesTable5[[#This Row],[Quantity]]*RawSalesTable5[[#This Row],[Unit_Price]],"NOT FOUND")</f>
        <v>20998</v>
      </c>
      <c r="T2">
        <f>IFERROR(RawSalesTable5[[#This Row],[Gross_Revenue]]*RawSalesTable5[[#This Row],[Discount_Pct]],"NOT FOUND")</f>
        <v>0</v>
      </c>
      <c r="U2">
        <f>IFERROR(RawSalesTable5[[#This Row],[Gross_Revenue]]-RawSalesTable5[[#This Row],[Discount_Value]],"NOT FOUND")</f>
        <v>20998</v>
      </c>
      <c r="V2">
        <f>IFERROR(RawSalesTable5[[#This Row],[Quantity]]*RawSalesTable5[[#This Row],[Unit_Cost]],"NOT FOUND")</f>
        <v>15200</v>
      </c>
      <c r="W2">
        <f>IFERROR(RawSalesTable5[[#This Row],[Net_Revenue]]-RawSalesTable5[[#This Row],[Cost]],"NOT FOUND")</f>
        <v>5798</v>
      </c>
      <c r="X2" s="27">
        <f>IF(RawSalesTable5[[#This Row],[Lookup_Status]]="Missing Product","",IFERROR(RawSalesTable5[[#This Row],[Profit]]/RawSalesTable5[[#This Row],[Net_Revenue]],0))</f>
        <v>0.27612153538432233</v>
      </c>
      <c r="Y2">
        <f>RawSalesTable5[[#This Row],[Ship_Date]]-RawSalesTable5[[#This Row],[Order_Date]]</f>
        <v>2</v>
      </c>
      <c r="Z2" s="28">
        <f>DATE(YEAR(RawSalesTable5[[#This Row],[Order_Date]]),MONTH(RawSalesTable5[[#This Row],[Order_Date]]),1)</f>
        <v>45778</v>
      </c>
      <c r="AA2" t="str" cm="1">
        <f t="array" ref="AA2">IF(RawSalesTable5[[#This Row],[Lookup_Status]]="Missing Product","",_xlfn.IFS(RawSalesTable5[[#This Row],[Net_Revenue]]&gt;=20000,"High",RawSalesTable5[[#This Row],[Net_Revenue]]&gt;=10000,"Medium",TRUE,"Low"))</f>
        <v>High</v>
      </c>
    </row>
    <row r="3" spans="1:27">
      <c r="A3" t="s">
        <v>90</v>
      </c>
      <c r="B3" s="15">
        <v>45985</v>
      </c>
      <c r="C3" s="15">
        <v>45987</v>
      </c>
      <c r="D3" t="s">
        <v>114</v>
      </c>
      <c r="E3" t="s">
        <v>92</v>
      </c>
      <c r="F3" t="s">
        <v>93</v>
      </c>
      <c r="G3" t="s">
        <v>94</v>
      </c>
      <c r="H3" t="s">
        <v>87</v>
      </c>
      <c r="I3" s="17">
        <v>2</v>
      </c>
      <c r="J3" s="16">
        <v>0</v>
      </c>
      <c r="K3" t="s">
        <v>95</v>
      </c>
      <c r="L3" t="s">
        <v>89</v>
      </c>
      <c r="M3" s="17">
        <v>3</v>
      </c>
      <c r="N3" t="str" cm="1">
        <f t="array" ref="N3">_xlfn.XLOOKUP(RawSalesTable5[[#This Row],[Product_Code]],ProductLookupTable[[#All],[Product_Code]],ProductLookupTable[[#All],[Product_Name]],"NOT FOUND")</f>
        <v>Wireless Headset</v>
      </c>
      <c r="O3" t="str" cm="1">
        <f t="array" ref="O3">_xlfn.XLOOKUP(RawSalesTable5[[#This Row],[Product_Code]],ProductLookupTable[[#All],[Product_Code]],ProductLookupTable[[#All],[Category]],"NOT FOUND")</f>
        <v>Audio</v>
      </c>
      <c r="P3" cm="1">
        <f t="array" ref="P3">_xlfn.XLOOKUP(RawSalesTable5[[#This Row],[Product_Code]],ProductLookupTable[[#All],[Product_Code]],ProductLookupTable[[#All],[Unit_Price]],"NOT FOUND")</f>
        <v>3499</v>
      </c>
      <c r="Q3" t="str">
        <f>IF(COUNTIF(ProductLookupTable[Product_Code],RawSalesTable5[[#This Row],[Product_Code]])=0,"Missing Product","OK")</f>
        <v>OK</v>
      </c>
      <c r="R3" cm="1">
        <f t="array" ref="R3">_xlfn.XLOOKUP(RawSalesTable5[[#This Row],[Product_Code]],ProductLookupTable[[#All],[Product_Code]],ProductLookupTable[[#All],[Unit_Cost]],"NOT FOUND")</f>
        <v>2100</v>
      </c>
      <c r="S3">
        <f>IFERROR(RawSalesTable5[[#This Row],[Quantity]]*RawSalesTable5[[#This Row],[Unit_Price]],"NOT FOUND")</f>
        <v>6998</v>
      </c>
      <c r="T3">
        <f>IFERROR(RawSalesTable5[[#This Row],[Gross_Revenue]]*RawSalesTable5[[#This Row],[Discount_Pct]],"NOT FOUND")</f>
        <v>0</v>
      </c>
      <c r="U3">
        <f>IFERROR(RawSalesTable5[[#This Row],[Gross_Revenue]]-RawSalesTable5[[#This Row],[Discount_Value]],"NOT FOUND")</f>
        <v>6998</v>
      </c>
      <c r="V3">
        <f>IFERROR(RawSalesTable5[[#This Row],[Quantity]]*RawSalesTable5[[#This Row],[Unit_Cost]],"NOT FOUND")</f>
        <v>4200</v>
      </c>
      <c r="W3">
        <f>IFERROR(RawSalesTable5[[#This Row],[Net_Revenue]]-RawSalesTable5[[#This Row],[Cost]],"NOT FOUND")</f>
        <v>2798</v>
      </c>
      <c r="X3" s="27">
        <f>IF(RawSalesTable5[[#This Row],[Lookup_Status]]="Missing Product","",IFERROR(RawSalesTable5[[#This Row],[Profit]]/RawSalesTable5[[#This Row],[Net_Revenue]],0))</f>
        <v>0.3998285224349814</v>
      </c>
      <c r="Y3">
        <f>RawSalesTable5[[#This Row],[Ship_Date]]-RawSalesTable5[[#This Row],[Order_Date]]</f>
        <v>2</v>
      </c>
      <c r="Z3" s="28">
        <f>DATE(YEAR(RawSalesTable5[[#This Row],[Order_Date]]),MONTH(RawSalesTable5[[#This Row],[Order_Date]]),1)</f>
        <v>45962</v>
      </c>
      <c r="AA3" t="str" cm="1">
        <f t="array" ref="AA3">IF(RawSalesTable5[[#This Row],[Lookup_Status]]="Missing Product","",_xlfn.IFS(RawSalesTable5[[#This Row],[Net_Revenue]]&gt;=20000,"High",RawSalesTable5[[#This Row],[Net_Revenue]]&gt;=10000,"Medium",TRUE,"Low"))</f>
        <v>Low</v>
      </c>
    </row>
    <row r="4" spans="1:27">
      <c r="A4" t="s">
        <v>96</v>
      </c>
      <c r="B4" s="15">
        <v>45782</v>
      </c>
      <c r="C4" s="15">
        <v>45783</v>
      </c>
      <c r="D4" t="s">
        <v>157</v>
      </c>
      <c r="E4" t="s">
        <v>98</v>
      </c>
      <c r="F4" t="s">
        <v>93</v>
      </c>
      <c r="G4" t="s">
        <v>94</v>
      </c>
      <c r="H4" t="s">
        <v>86</v>
      </c>
      <c r="I4" s="17">
        <v>1</v>
      </c>
      <c r="J4" s="16">
        <v>0</v>
      </c>
      <c r="K4" t="s">
        <v>88</v>
      </c>
      <c r="L4" t="s">
        <v>89</v>
      </c>
      <c r="M4" s="17">
        <v>3</v>
      </c>
      <c r="N4" t="str" cm="1">
        <f t="array" ref="N4">_xlfn.XLOOKUP(RawSalesTable5[[#This Row],[Product_Code]],ProductLookupTable[[#All],[Product_Code]],ProductLookupTable[[#All],[Product_Name]],"NOT FOUND")</f>
        <v>Wireless Headset</v>
      </c>
      <c r="O4" t="str" cm="1">
        <f t="array" ref="O4">_xlfn.XLOOKUP(RawSalesTable5[[#This Row],[Product_Code]],ProductLookupTable[[#All],[Product_Code]],ProductLookupTable[[#All],[Category]],"NOT FOUND")</f>
        <v>Audio</v>
      </c>
      <c r="P4" cm="1">
        <f t="array" ref="P4">_xlfn.XLOOKUP(RawSalesTable5[[#This Row],[Product_Code]],ProductLookupTable[[#All],[Product_Code]],ProductLookupTable[[#All],[Unit_Price]],"NOT FOUND")</f>
        <v>3499</v>
      </c>
      <c r="Q4" t="str">
        <f>IF(COUNTIF(ProductLookupTable[Product_Code],RawSalesTable5[[#This Row],[Product_Code]])=0,"Missing Product","OK")</f>
        <v>OK</v>
      </c>
      <c r="R4" cm="1">
        <f t="array" ref="R4">_xlfn.XLOOKUP(RawSalesTable5[[#This Row],[Product_Code]],ProductLookupTable[[#All],[Product_Code]],ProductLookupTable[[#All],[Unit_Cost]],"NOT FOUND")</f>
        <v>2100</v>
      </c>
      <c r="S4">
        <f>IFERROR(RawSalesTable5[[#This Row],[Quantity]]*RawSalesTable5[[#This Row],[Unit_Price]],"NOT FOUND")</f>
        <v>3499</v>
      </c>
      <c r="T4">
        <f>IFERROR(RawSalesTable5[[#This Row],[Gross_Revenue]]*RawSalesTable5[[#This Row],[Discount_Pct]],"NOT FOUND")</f>
        <v>0</v>
      </c>
      <c r="U4">
        <f>IFERROR(RawSalesTable5[[#This Row],[Gross_Revenue]]-RawSalesTable5[[#This Row],[Discount_Value]],"NOT FOUND")</f>
        <v>3499</v>
      </c>
      <c r="V4">
        <f>IFERROR(RawSalesTable5[[#This Row],[Quantity]]*RawSalesTable5[[#This Row],[Unit_Cost]],"NOT FOUND")</f>
        <v>2100</v>
      </c>
      <c r="W4">
        <f>IFERROR(RawSalesTable5[[#This Row],[Net_Revenue]]-RawSalesTable5[[#This Row],[Cost]],"NOT FOUND")</f>
        <v>1399</v>
      </c>
      <c r="X4" s="27">
        <f>IF(RawSalesTable5[[#This Row],[Lookup_Status]]="Missing Product","",IFERROR(RawSalesTable5[[#This Row],[Profit]]/RawSalesTable5[[#This Row],[Net_Revenue]],0))</f>
        <v>0.3998285224349814</v>
      </c>
      <c r="Y4">
        <f>RawSalesTable5[[#This Row],[Ship_Date]]-RawSalesTable5[[#This Row],[Order_Date]]</f>
        <v>1</v>
      </c>
      <c r="Z4" s="28">
        <f>DATE(YEAR(RawSalesTable5[[#This Row],[Order_Date]]),MONTH(RawSalesTable5[[#This Row],[Order_Date]]),1)</f>
        <v>45778</v>
      </c>
      <c r="AA4" t="str" cm="1">
        <f t="array" ref="AA4">IF(RawSalesTable5[[#This Row],[Lookup_Status]]="Missing Product","",_xlfn.IFS(RawSalesTable5[[#This Row],[Net_Revenue]]&gt;=20000,"High",RawSalesTable5[[#This Row],[Net_Revenue]]&gt;=10000,"Medium",TRUE,"Low"))</f>
        <v>Low</v>
      </c>
    </row>
    <row r="5" spans="1:27">
      <c r="A5" t="s">
        <v>99</v>
      </c>
      <c r="B5" s="15">
        <v>45851</v>
      </c>
      <c r="C5" s="15">
        <v>45858</v>
      </c>
      <c r="D5" t="s">
        <v>212</v>
      </c>
      <c r="E5" t="s">
        <v>101</v>
      </c>
      <c r="F5" t="s">
        <v>102</v>
      </c>
      <c r="G5" t="s">
        <v>86</v>
      </c>
      <c r="H5" t="s">
        <v>103</v>
      </c>
      <c r="I5" s="17">
        <v>2</v>
      </c>
      <c r="J5" s="16">
        <v>0.05</v>
      </c>
      <c r="K5" t="s">
        <v>88</v>
      </c>
      <c r="L5" t="s">
        <v>89</v>
      </c>
      <c r="M5" s="17">
        <v>4</v>
      </c>
      <c r="N5" t="str" cm="1">
        <f t="array" ref="N5">_xlfn.XLOOKUP(RawSalesTable5[[#This Row],[Product_Code]],ProductLookupTable[[#All],[Product_Code]],ProductLookupTable[[#All],[Product_Name]],"NOT FOUND")</f>
        <v>SSD 1TB</v>
      </c>
      <c r="O5" t="str" cm="1">
        <f t="array" ref="O5">_xlfn.XLOOKUP(RawSalesTable5[[#This Row],[Product_Code]],ProductLookupTable[[#All],[Product_Code]],ProductLookupTable[[#All],[Category]],"NOT FOUND")</f>
        <v>Storage</v>
      </c>
      <c r="P5" cm="1">
        <f t="array" ref="P5">_xlfn.XLOOKUP(RawSalesTable5[[#This Row],[Product_Code]],ProductLookupTable[[#All],[Product_Code]],ProductLookupTable[[#All],[Unit_Price]],"NOT FOUND")</f>
        <v>6999</v>
      </c>
      <c r="Q5" t="str">
        <f>IF(COUNTIF(ProductLookupTable[Product_Code],RawSalesTable5[[#This Row],[Product_Code]])=0,"Missing Product","OK")</f>
        <v>OK</v>
      </c>
      <c r="R5" cm="1">
        <f t="array" ref="R5">_xlfn.XLOOKUP(RawSalesTable5[[#This Row],[Product_Code]],ProductLookupTable[[#All],[Product_Code]],ProductLookupTable[[#All],[Unit_Cost]],"NOT FOUND")</f>
        <v>4900</v>
      </c>
      <c r="S5">
        <f>IFERROR(RawSalesTable5[[#This Row],[Quantity]]*RawSalesTable5[[#This Row],[Unit_Price]],"NOT FOUND")</f>
        <v>13998</v>
      </c>
      <c r="T5">
        <f>IFERROR(RawSalesTable5[[#This Row],[Gross_Revenue]]*RawSalesTable5[[#This Row],[Discount_Pct]],"NOT FOUND")</f>
        <v>699.90000000000009</v>
      </c>
      <c r="U5">
        <f>IFERROR(RawSalesTable5[[#This Row],[Gross_Revenue]]-RawSalesTable5[[#This Row],[Discount_Value]],"NOT FOUND")</f>
        <v>13298.1</v>
      </c>
      <c r="V5">
        <f>IFERROR(RawSalesTable5[[#This Row],[Quantity]]*RawSalesTable5[[#This Row],[Unit_Cost]],"NOT FOUND")</f>
        <v>9800</v>
      </c>
      <c r="W5">
        <f>IFERROR(RawSalesTable5[[#This Row],[Net_Revenue]]-RawSalesTable5[[#This Row],[Cost]],"NOT FOUND")</f>
        <v>3498.1000000000004</v>
      </c>
      <c r="X5" s="27">
        <f>IF(RawSalesTable5[[#This Row],[Lookup_Status]]="Missing Product","",IFERROR(RawSalesTable5[[#This Row],[Profit]]/RawSalesTable5[[#This Row],[Net_Revenue]],0))</f>
        <v>0.26305261653920486</v>
      </c>
      <c r="Y5">
        <f>RawSalesTable5[[#This Row],[Ship_Date]]-RawSalesTable5[[#This Row],[Order_Date]]</f>
        <v>7</v>
      </c>
      <c r="Z5" s="28">
        <f>DATE(YEAR(RawSalesTable5[[#This Row],[Order_Date]]),MONTH(RawSalesTable5[[#This Row],[Order_Date]]),1)</f>
        <v>45839</v>
      </c>
      <c r="AA5" t="str" cm="1">
        <f t="array" ref="AA5">IF(RawSalesTable5[[#This Row],[Lookup_Status]]="Missing Product","",_xlfn.IFS(RawSalesTable5[[#This Row],[Net_Revenue]]&gt;=20000,"High",RawSalesTable5[[#This Row],[Net_Revenue]]&gt;=10000,"Medium",TRUE,"Low"))</f>
        <v>Medium</v>
      </c>
    </row>
    <row r="6" spans="1:27">
      <c r="A6" t="s">
        <v>104</v>
      </c>
      <c r="B6" s="15">
        <v>45838</v>
      </c>
      <c r="C6" s="15">
        <v>45843</v>
      </c>
      <c r="D6" t="s">
        <v>123</v>
      </c>
      <c r="E6" t="s">
        <v>106</v>
      </c>
      <c r="F6" t="s">
        <v>107</v>
      </c>
      <c r="G6" t="s">
        <v>108</v>
      </c>
      <c r="H6" t="s">
        <v>103</v>
      </c>
      <c r="I6" s="17">
        <v>1</v>
      </c>
      <c r="J6" s="16">
        <v>0.2</v>
      </c>
      <c r="K6" t="s">
        <v>95</v>
      </c>
      <c r="L6" t="s">
        <v>89</v>
      </c>
      <c r="M6" s="17">
        <v>5</v>
      </c>
      <c r="N6" t="str" cm="1">
        <f t="array" ref="N6">_xlfn.XLOOKUP(RawSalesTable5[[#This Row],[Product_Code]],ProductLookupTable[[#All],[Product_Code]],ProductLookupTable[[#All],[Product_Name]],"NOT FOUND")</f>
        <v>Bluetooth Speaker</v>
      </c>
      <c r="O6" t="str" cm="1">
        <f t="array" ref="O6">_xlfn.XLOOKUP(RawSalesTable5[[#This Row],[Product_Code]],ProductLookupTable[[#All],[Product_Code]],ProductLookupTable[[#All],[Category]],"NOT FOUND")</f>
        <v>Audio</v>
      </c>
      <c r="P6" cm="1">
        <f t="array" ref="P6">_xlfn.XLOOKUP(RawSalesTable5[[#This Row],[Product_Code]],ProductLookupTable[[#All],[Product_Code]],ProductLookupTable[[#All],[Unit_Price]],"NOT FOUND")</f>
        <v>2799</v>
      </c>
      <c r="Q6" t="str">
        <f>IF(COUNTIF(ProductLookupTable[Product_Code],RawSalesTable5[[#This Row],[Product_Code]])=0,"Missing Product","OK")</f>
        <v>OK</v>
      </c>
      <c r="R6" cm="1">
        <f t="array" ref="R6">_xlfn.XLOOKUP(RawSalesTable5[[#This Row],[Product_Code]],ProductLookupTable[[#All],[Product_Code]],ProductLookupTable[[#All],[Unit_Cost]],"NOT FOUND")</f>
        <v>1650</v>
      </c>
      <c r="S6">
        <f>IFERROR(RawSalesTable5[[#This Row],[Quantity]]*RawSalesTable5[[#This Row],[Unit_Price]],"NOT FOUND")</f>
        <v>2799</v>
      </c>
      <c r="T6">
        <f>IFERROR(RawSalesTable5[[#This Row],[Gross_Revenue]]*RawSalesTable5[[#This Row],[Discount_Pct]],"NOT FOUND")</f>
        <v>559.80000000000007</v>
      </c>
      <c r="U6">
        <f>IFERROR(RawSalesTable5[[#This Row],[Gross_Revenue]]-RawSalesTable5[[#This Row],[Discount_Value]],"NOT FOUND")</f>
        <v>2239.1999999999998</v>
      </c>
      <c r="V6">
        <f>IFERROR(RawSalesTable5[[#This Row],[Quantity]]*RawSalesTable5[[#This Row],[Unit_Cost]],"NOT FOUND")</f>
        <v>1650</v>
      </c>
      <c r="W6">
        <f>IFERROR(RawSalesTable5[[#This Row],[Net_Revenue]]-RawSalesTable5[[#This Row],[Cost]],"NOT FOUND")</f>
        <v>589.19999999999982</v>
      </c>
      <c r="X6" s="27">
        <f>IF(RawSalesTable5[[#This Row],[Lookup_Status]]="Missing Product","",IFERROR(RawSalesTable5[[#This Row],[Profit]]/RawSalesTable5[[#This Row],[Net_Revenue]],0))</f>
        <v>0.26312968917470519</v>
      </c>
      <c r="Y6">
        <f>RawSalesTable5[[#This Row],[Ship_Date]]-RawSalesTable5[[#This Row],[Order_Date]]</f>
        <v>5</v>
      </c>
      <c r="Z6" s="28">
        <f>DATE(YEAR(RawSalesTable5[[#This Row],[Order_Date]]),MONTH(RawSalesTable5[[#This Row],[Order_Date]]),1)</f>
        <v>45809</v>
      </c>
      <c r="AA6" t="str" cm="1">
        <f t="array" ref="AA6">IF(RawSalesTable5[[#This Row],[Lookup_Status]]="Missing Product","",_xlfn.IFS(RawSalesTable5[[#This Row],[Net_Revenue]]&gt;=20000,"High",RawSalesTable5[[#This Row],[Net_Revenue]]&gt;=10000,"Medium",TRUE,"Low"))</f>
        <v>Low</v>
      </c>
    </row>
    <row r="7" spans="1:27">
      <c r="A7" t="s">
        <v>109</v>
      </c>
      <c r="B7" s="15">
        <v>45964</v>
      </c>
      <c r="C7" s="15">
        <v>45972</v>
      </c>
      <c r="D7" t="s">
        <v>83</v>
      </c>
      <c r="E7" t="s">
        <v>111</v>
      </c>
      <c r="F7" t="s">
        <v>93</v>
      </c>
      <c r="G7" t="s">
        <v>94</v>
      </c>
      <c r="H7" t="s">
        <v>87</v>
      </c>
      <c r="I7" s="17">
        <v>4</v>
      </c>
      <c r="J7" s="16">
        <v>0.1</v>
      </c>
      <c r="K7" t="s">
        <v>112</v>
      </c>
      <c r="L7" t="s">
        <v>89</v>
      </c>
      <c r="M7" s="17">
        <v>4</v>
      </c>
      <c r="N7" t="str" cm="1">
        <f t="array" ref="N7">_xlfn.XLOOKUP(RawSalesTable5[[#This Row],[Product_Code]],ProductLookupTable[[#All],[Product_Code]],ProductLookupTable[[#All],[Product_Name]],"NOT FOUND")</f>
        <v>Wireless Headset</v>
      </c>
      <c r="O7" t="str" cm="1">
        <f t="array" ref="O7">_xlfn.XLOOKUP(RawSalesTable5[[#This Row],[Product_Code]],ProductLookupTable[[#All],[Product_Code]],ProductLookupTable[[#All],[Category]],"NOT FOUND")</f>
        <v>Audio</v>
      </c>
      <c r="P7" cm="1">
        <f t="array" ref="P7">_xlfn.XLOOKUP(RawSalesTable5[[#This Row],[Product_Code]],ProductLookupTable[[#All],[Product_Code]],ProductLookupTable[[#All],[Unit_Price]],"NOT FOUND")</f>
        <v>3499</v>
      </c>
      <c r="Q7" t="str">
        <f>IF(COUNTIF(ProductLookupTable[Product_Code],RawSalesTable5[[#This Row],[Product_Code]])=0,"Missing Product","OK")</f>
        <v>OK</v>
      </c>
      <c r="R7" cm="1">
        <f t="array" ref="R7">_xlfn.XLOOKUP(RawSalesTable5[[#This Row],[Product_Code]],ProductLookupTable[[#All],[Product_Code]],ProductLookupTable[[#All],[Unit_Cost]],"NOT FOUND")</f>
        <v>2100</v>
      </c>
      <c r="S7">
        <f>IFERROR(RawSalesTable5[[#This Row],[Quantity]]*RawSalesTable5[[#This Row],[Unit_Price]],"NOT FOUND")</f>
        <v>13996</v>
      </c>
      <c r="T7">
        <f>IFERROR(RawSalesTable5[[#This Row],[Gross_Revenue]]*RawSalesTable5[[#This Row],[Discount_Pct]],"NOT FOUND")</f>
        <v>1399.6000000000001</v>
      </c>
      <c r="U7">
        <f>IFERROR(RawSalesTable5[[#This Row],[Gross_Revenue]]-RawSalesTable5[[#This Row],[Discount_Value]],"NOT FOUND")</f>
        <v>12596.4</v>
      </c>
      <c r="V7">
        <f>IFERROR(RawSalesTable5[[#This Row],[Quantity]]*RawSalesTable5[[#This Row],[Unit_Cost]],"NOT FOUND")</f>
        <v>8400</v>
      </c>
      <c r="W7">
        <f>IFERROR(RawSalesTable5[[#This Row],[Net_Revenue]]-RawSalesTable5[[#This Row],[Cost]],"NOT FOUND")</f>
        <v>4196.3999999999996</v>
      </c>
      <c r="X7" s="27">
        <f>IF(RawSalesTable5[[#This Row],[Lookup_Status]]="Missing Product","",IFERROR(RawSalesTable5[[#This Row],[Profit]]/RawSalesTable5[[#This Row],[Net_Revenue]],0))</f>
        <v>0.33314280270553487</v>
      </c>
      <c r="Y7">
        <f>RawSalesTable5[[#This Row],[Ship_Date]]-RawSalesTable5[[#This Row],[Order_Date]]</f>
        <v>8</v>
      </c>
      <c r="Z7" s="28">
        <f>DATE(YEAR(RawSalesTable5[[#This Row],[Order_Date]]),MONTH(RawSalesTable5[[#This Row],[Order_Date]]),1)</f>
        <v>45962</v>
      </c>
      <c r="AA7" t="str" cm="1">
        <f t="array" ref="AA7">IF(RawSalesTable5[[#This Row],[Lookup_Status]]="Missing Product","",_xlfn.IFS(RawSalesTable5[[#This Row],[Net_Revenue]]&gt;=20000,"High",RawSalesTable5[[#This Row],[Net_Revenue]]&gt;=10000,"Medium",TRUE,"Low"))</f>
        <v>Medium</v>
      </c>
    </row>
    <row r="8" spans="1:27">
      <c r="A8" t="s">
        <v>113</v>
      </c>
      <c r="B8" s="15">
        <v>45812</v>
      </c>
      <c r="C8" s="15">
        <v>45816</v>
      </c>
      <c r="D8" t="s">
        <v>114</v>
      </c>
      <c r="E8" t="s">
        <v>84</v>
      </c>
      <c r="F8" t="s">
        <v>115</v>
      </c>
      <c r="G8" t="s">
        <v>86</v>
      </c>
      <c r="H8" t="s">
        <v>103</v>
      </c>
      <c r="I8" s="17">
        <v>5</v>
      </c>
      <c r="J8" s="16">
        <v>0</v>
      </c>
      <c r="K8" t="s">
        <v>112</v>
      </c>
      <c r="L8" t="s">
        <v>89</v>
      </c>
      <c r="M8" s="17">
        <v>3</v>
      </c>
      <c r="N8" t="str" cm="1">
        <f t="array" ref="N8">_xlfn.XLOOKUP(RawSalesTable5[[#This Row],[Product_Code]],ProductLookupTable[[#All],[Product_Code]],ProductLookupTable[[#All],[Product_Name]],"NOT FOUND")</f>
        <v>USB-C Hub</v>
      </c>
      <c r="O8" t="str" cm="1">
        <f t="array" ref="O8">_xlfn.XLOOKUP(RawSalesTable5[[#This Row],[Product_Code]],ProductLookupTable[[#All],[Product_Code]],ProductLookupTable[[#All],[Category]],"NOT FOUND")</f>
        <v>Accessories</v>
      </c>
      <c r="P8" cm="1">
        <f t="array" ref="P8">_xlfn.XLOOKUP(RawSalesTable5[[#This Row],[Product_Code]],ProductLookupTable[[#All],[Product_Code]],ProductLookupTable[[#All],[Unit_Price]],"NOT FOUND")</f>
        <v>1599</v>
      </c>
      <c r="Q8" t="str">
        <f>IF(COUNTIF(ProductLookupTable[Product_Code],RawSalesTable5[[#This Row],[Product_Code]])=0,"Missing Product","OK")</f>
        <v>OK</v>
      </c>
      <c r="R8" cm="1">
        <f t="array" ref="R8">_xlfn.XLOOKUP(RawSalesTable5[[#This Row],[Product_Code]],ProductLookupTable[[#All],[Product_Code]],ProductLookupTable[[#All],[Unit_Cost]],"NOT FOUND")</f>
        <v>870</v>
      </c>
      <c r="S8">
        <f>IFERROR(RawSalesTable5[[#This Row],[Quantity]]*RawSalesTable5[[#This Row],[Unit_Price]],"NOT FOUND")</f>
        <v>7995</v>
      </c>
      <c r="T8">
        <f>IFERROR(RawSalesTable5[[#This Row],[Gross_Revenue]]*RawSalesTable5[[#This Row],[Discount_Pct]],"NOT FOUND")</f>
        <v>0</v>
      </c>
      <c r="U8">
        <f>IFERROR(RawSalesTable5[[#This Row],[Gross_Revenue]]-RawSalesTable5[[#This Row],[Discount_Value]],"NOT FOUND")</f>
        <v>7995</v>
      </c>
      <c r="V8">
        <f>IFERROR(RawSalesTable5[[#This Row],[Quantity]]*RawSalesTable5[[#This Row],[Unit_Cost]],"NOT FOUND")</f>
        <v>4350</v>
      </c>
      <c r="W8">
        <f>IFERROR(RawSalesTable5[[#This Row],[Net_Revenue]]-RawSalesTable5[[#This Row],[Cost]],"NOT FOUND")</f>
        <v>3645</v>
      </c>
      <c r="X8" s="27">
        <f>IF(RawSalesTable5[[#This Row],[Lookup_Status]]="Missing Product","",IFERROR(RawSalesTable5[[#This Row],[Profit]]/RawSalesTable5[[#This Row],[Net_Revenue]],0))</f>
        <v>0.45590994371482174</v>
      </c>
      <c r="Y8">
        <f>RawSalesTable5[[#This Row],[Ship_Date]]-RawSalesTable5[[#This Row],[Order_Date]]</f>
        <v>4</v>
      </c>
      <c r="Z8" s="28">
        <f>DATE(YEAR(RawSalesTable5[[#This Row],[Order_Date]]),MONTH(RawSalesTable5[[#This Row],[Order_Date]]),1)</f>
        <v>45809</v>
      </c>
      <c r="AA8" t="str" cm="1">
        <f t="array" ref="AA8">IF(RawSalesTable5[[#This Row],[Lookup_Status]]="Missing Product","",_xlfn.IFS(RawSalesTable5[[#This Row],[Net_Revenue]]&gt;=20000,"High",RawSalesTable5[[#This Row],[Net_Revenue]]&gt;=10000,"Medium",TRUE,"Low"))</f>
        <v>Low</v>
      </c>
    </row>
    <row r="9" spans="1:27">
      <c r="A9" t="s">
        <v>117</v>
      </c>
      <c r="B9" s="15">
        <v>46020</v>
      </c>
      <c r="C9" s="15">
        <v>46024</v>
      </c>
      <c r="D9" t="s">
        <v>157</v>
      </c>
      <c r="E9" t="s">
        <v>92</v>
      </c>
      <c r="F9" t="s">
        <v>118</v>
      </c>
      <c r="G9" t="s">
        <v>108</v>
      </c>
      <c r="H9" t="s">
        <v>86</v>
      </c>
      <c r="I9" s="17">
        <v>5</v>
      </c>
      <c r="J9" s="16">
        <v>0</v>
      </c>
      <c r="K9" t="s">
        <v>119</v>
      </c>
      <c r="L9" t="s">
        <v>89</v>
      </c>
      <c r="M9" s="17">
        <v>5</v>
      </c>
      <c r="N9" t="str" cm="1">
        <f t="array" ref="N9">_xlfn.XLOOKUP(RawSalesTable5[[#This Row],[Product_Code]],ProductLookupTable[[#All],[Product_Code]],ProductLookupTable[[#All],[Product_Name]],"NOT FOUND")</f>
        <v>Mechanical Keyboard</v>
      </c>
      <c r="O9" t="str" cm="1">
        <f t="array" ref="O9">_xlfn.XLOOKUP(RawSalesTable5[[#This Row],[Product_Code]],ProductLookupTable[[#All],[Product_Code]],ProductLookupTable[[#All],[Category]],"NOT FOUND")</f>
        <v>Accessories</v>
      </c>
      <c r="P9" cm="1">
        <f t="array" ref="P9">_xlfn.XLOOKUP(RawSalesTable5[[#This Row],[Product_Code]],ProductLookupTable[[#All],[Product_Code]],ProductLookupTable[[#All],[Unit_Price]],"NOT FOUND")</f>
        <v>2499</v>
      </c>
      <c r="Q9" t="str">
        <f>IF(COUNTIF(ProductLookupTable[Product_Code],RawSalesTable5[[#This Row],[Product_Code]])=0,"Missing Product","OK")</f>
        <v>OK</v>
      </c>
      <c r="R9" cm="1">
        <f t="array" ref="R9">_xlfn.XLOOKUP(RawSalesTable5[[#This Row],[Product_Code]],ProductLookupTable[[#All],[Product_Code]],ProductLookupTable[[#All],[Unit_Cost]],"NOT FOUND")</f>
        <v>1450</v>
      </c>
      <c r="S9">
        <f>IFERROR(RawSalesTable5[[#This Row],[Quantity]]*RawSalesTable5[[#This Row],[Unit_Price]],"NOT FOUND")</f>
        <v>12495</v>
      </c>
      <c r="T9">
        <f>IFERROR(RawSalesTable5[[#This Row],[Gross_Revenue]]*RawSalesTable5[[#This Row],[Discount_Pct]],"NOT FOUND")</f>
        <v>0</v>
      </c>
      <c r="U9">
        <f>IFERROR(RawSalesTable5[[#This Row],[Gross_Revenue]]-RawSalesTable5[[#This Row],[Discount_Value]],"NOT FOUND")</f>
        <v>12495</v>
      </c>
      <c r="V9">
        <f>IFERROR(RawSalesTable5[[#This Row],[Quantity]]*RawSalesTable5[[#This Row],[Unit_Cost]],"NOT FOUND")</f>
        <v>7250</v>
      </c>
      <c r="W9">
        <f>IFERROR(RawSalesTable5[[#This Row],[Net_Revenue]]-RawSalesTable5[[#This Row],[Cost]],"NOT FOUND")</f>
        <v>5245</v>
      </c>
      <c r="X9" s="27">
        <f>IF(RawSalesTable5[[#This Row],[Lookup_Status]]="Missing Product","",IFERROR(RawSalesTable5[[#This Row],[Profit]]/RawSalesTable5[[#This Row],[Net_Revenue]],0))</f>
        <v>0.41976790716286516</v>
      </c>
      <c r="Y9">
        <f>RawSalesTable5[[#This Row],[Ship_Date]]-RawSalesTable5[[#This Row],[Order_Date]]</f>
        <v>4</v>
      </c>
      <c r="Z9" s="28">
        <f>DATE(YEAR(RawSalesTable5[[#This Row],[Order_Date]]),MONTH(RawSalesTable5[[#This Row],[Order_Date]]),1)</f>
        <v>45992</v>
      </c>
      <c r="AA9" t="str" cm="1">
        <f t="array" ref="AA9">IF(RawSalesTable5[[#This Row],[Lookup_Status]]="Missing Product","",_xlfn.IFS(RawSalesTable5[[#This Row],[Net_Revenue]]&gt;=20000,"High",RawSalesTable5[[#This Row],[Net_Revenue]]&gt;=10000,"Medium",TRUE,"Low"))</f>
        <v>Medium</v>
      </c>
    </row>
    <row r="10" spans="1:27">
      <c r="A10" t="s">
        <v>120</v>
      </c>
      <c r="B10" s="15">
        <v>45829</v>
      </c>
      <c r="C10" s="15">
        <v>45832</v>
      </c>
      <c r="D10" t="s">
        <v>212</v>
      </c>
      <c r="E10" t="s">
        <v>98</v>
      </c>
      <c r="F10" t="s">
        <v>121</v>
      </c>
      <c r="G10" t="s">
        <v>108</v>
      </c>
      <c r="H10" t="s">
        <v>87</v>
      </c>
      <c r="I10" s="17">
        <v>3</v>
      </c>
      <c r="J10" s="16">
        <v>0.1</v>
      </c>
      <c r="K10" t="s">
        <v>112</v>
      </c>
      <c r="L10" t="s">
        <v>89</v>
      </c>
      <c r="M10" s="17">
        <v>4</v>
      </c>
      <c r="N10" t="str" cm="1">
        <f t="array" ref="N10">_xlfn.XLOOKUP(RawSalesTable5[[#This Row],[Product_Code]],ProductLookupTable[[#All],[Product_Code]],ProductLookupTable[[#All],[Product_Name]],"NOT FOUND")</f>
        <v>HD Webcam</v>
      </c>
      <c r="O10" t="str" cm="1">
        <f t="array" ref="O10">_xlfn.XLOOKUP(RawSalesTable5[[#This Row],[Product_Code]],ProductLookupTable[[#All],[Product_Code]],ProductLookupTable[[#All],[Category]],"NOT FOUND")</f>
        <v>Accessories</v>
      </c>
      <c r="P10" cm="1">
        <f t="array" ref="P10">_xlfn.XLOOKUP(RawSalesTable5[[#This Row],[Product_Code]],ProductLookupTable[[#All],[Product_Code]],ProductLookupTable[[#All],[Unit_Price]],"NOT FOUND")</f>
        <v>2899</v>
      </c>
      <c r="Q10" t="str">
        <f>IF(COUNTIF(ProductLookupTable[Product_Code],RawSalesTable5[[#This Row],[Product_Code]])=0,"Missing Product","OK")</f>
        <v>OK</v>
      </c>
      <c r="R10" cm="1">
        <f t="array" ref="R10">_xlfn.XLOOKUP(RawSalesTable5[[#This Row],[Product_Code]],ProductLookupTable[[#All],[Product_Code]],ProductLookupTable[[#All],[Unit_Cost]],"NOT FOUND")</f>
        <v>1700</v>
      </c>
      <c r="S10">
        <f>IFERROR(RawSalesTable5[[#This Row],[Quantity]]*RawSalesTable5[[#This Row],[Unit_Price]],"NOT FOUND")</f>
        <v>8697</v>
      </c>
      <c r="T10">
        <f>IFERROR(RawSalesTable5[[#This Row],[Gross_Revenue]]*RawSalesTable5[[#This Row],[Discount_Pct]],"NOT FOUND")</f>
        <v>869.7</v>
      </c>
      <c r="U10">
        <f>IFERROR(RawSalesTable5[[#This Row],[Gross_Revenue]]-RawSalesTable5[[#This Row],[Discount_Value]],"NOT FOUND")</f>
        <v>7827.3</v>
      </c>
      <c r="V10">
        <f>IFERROR(RawSalesTable5[[#This Row],[Quantity]]*RawSalesTable5[[#This Row],[Unit_Cost]],"NOT FOUND")</f>
        <v>5100</v>
      </c>
      <c r="W10">
        <f>IFERROR(RawSalesTable5[[#This Row],[Net_Revenue]]-RawSalesTable5[[#This Row],[Cost]],"NOT FOUND")</f>
        <v>2727.3</v>
      </c>
      <c r="X10" s="27">
        <f>IF(RawSalesTable5[[#This Row],[Lookup_Status]]="Missing Product","",IFERROR(RawSalesTable5[[#This Row],[Profit]]/RawSalesTable5[[#This Row],[Net_Revenue]],0))</f>
        <v>0.34843432601280139</v>
      </c>
      <c r="Y10">
        <f>RawSalesTable5[[#This Row],[Ship_Date]]-RawSalesTable5[[#This Row],[Order_Date]]</f>
        <v>3</v>
      </c>
      <c r="Z10" s="28">
        <f>DATE(YEAR(RawSalesTable5[[#This Row],[Order_Date]]),MONTH(RawSalesTable5[[#This Row],[Order_Date]]),1)</f>
        <v>45809</v>
      </c>
      <c r="AA10" t="str" cm="1">
        <f t="array" ref="AA10">IF(RawSalesTable5[[#This Row],[Lookup_Status]]="Missing Product","",_xlfn.IFS(RawSalesTable5[[#This Row],[Net_Revenue]]&gt;=20000,"High",RawSalesTable5[[#This Row],[Net_Revenue]]&gt;=10000,"Medium",TRUE,"Low"))</f>
        <v>Low</v>
      </c>
    </row>
    <row r="11" spans="1:27">
      <c r="A11" t="s">
        <v>122</v>
      </c>
      <c r="B11" s="15">
        <v>45778</v>
      </c>
      <c r="C11" s="15">
        <v>45786</v>
      </c>
      <c r="D11" t="s">
        <v>123</v>
      </c>
      <c r="E11" t="s">
        <v>101</v>
      </c>
      <c r="F11" t="s">
        <v>124</v>
      </c>
      <c r="G11" t="s">
        <v>125</v>
      </c>
      <c r="H11" t="s">
        <v>87</v>
      </c>
      <c r="I11" s="17">
        <v>3</v>
      </c>
      <c r="J11" s="16">
        <v>0.2</v>
      </c>
      <c r="K11" t="s">
        <v>112</v>
      </c>
      <c r="L11" t="s">
        <v>126</v>
      </c>
      <c r="M11" s="17">
        <v>1</v>
      </c>
      <c r="N11" t="str" cm="1">
        <f t="array" ref="N11">_xlfn.XLOOKUP(RawSalesTable5[[#This Row],[Product_Code]],ProductLookupTable[[#All],[Product_Code]],ProductLookupTable[[#All],[Product_Name]],"NOT FOUND")</f>
        <v>Wireless Mouse</v>
      </c>
      <c r="O11" t="str" cm="1">
        <f t="array" ref="O11">_xlfn.XLOOKUP(RawSalesTable5[[#This Row],[Product_Code]],ProductLookupTable[[#All],[Product_Code]],ProductLookupTable[[#All],[Category]],"NOT FOUND")</f>
        <v>Accessories</v>
      </c>
      <c r="P11" cm="1">
        <f t="array" ref="P11">_xlfn.XLOOKUP(RawSalesTable5[[#This Row],[Product_Code]],ProductLookupTable[[#All],[Product_Code]],ProductLookupTable[[#All],[Unit_Price]],"NOT FOUND")</f>
        <v>799</v>
      </c>
      <c r="Q11" t="str">
        <f>IF(COUNTIF(ProductLookupTable[Product_Code],RawSalesTable5[[#This Row],[Product_Code]])=0,"Missing Product","OK")</f>
        <v>OK</v>
      </c>
      <c r="R11" cm="1">
        <f t="array" ref="R11">_xlfn.XLOOKUP(RawSalesTable5[[#This Row],[Product_Code]],ProductLookupTable[[#All],[Product_Code]],ProductLookupTable[[#All],[Unit_Cost]],"NOT FOUND")</f>
        <v>420</v>
      </c>
      <c r="S11">
        <f>IFERROR(RawSalesTable5[[#This Row],[Quantity]]*RawSalesTable5[[#This Row],[Unit_Price]],"NOT FOUND")</f>
        <v>2397</v>
      </c>
      <c r="T11">
        <f>IFERROR(RawSalesTable5[[#This Row],[Gross_Revenue]]*RawSalesTable5[[#This Row],[Discount_Pct]],"NOT FOUND")</f>
        <v>479.40000000000003</v>
      </c>
      <c r="U11">
        <f>IFERROR(RawSalesTable5[[#This Row],[Gross_Revenue]]-RawSalesTable5[[#This Row],[Discount_Value]],"NOT FOUND")</f>
        <v>1917.6</v>
      </c>
      <c r="V11">
        <f>IFERROR(RawSalesTable5[[#This Row],[Quantity]]*RawSalesTable5[[#This Row],[Unit_Cost]],"NOT FOUND")</f>
        <v>1260</v>
      </c>
      <c r="W11">
        <f>IFERROR(RawSalesTable5[[#This Row],[Net_Revenue]]-RawSalesTable5[[#This Row],[Cost]],"NOT FOUND")</f>
        <v>657.59999999999991</v>
      </c>
      <c r="X11" s="27">
        <f>IF(RawSalesTable5[[#This Row],[Lookup_Status]]="Missing Product","",IFERROR(RawSalesTable5[[#This Row],[Profit]]/RawSalesTable5[[#This Row],[Net_Revenue]],0))</f>
        <v>0.34292866082603252</v>
      </c>
      <c r="Y11">
        <f>RawSalesTable5[[#This Row],[Ship_Date]]-RawSalesTable5[[#This Row],[Order_Date]]</f>
        <v>8</v>
      </c>
      <c r="Z11" s="28">
        <f>DATE(YEAR(RawSalesTable5[[#This Row],[Order_Date]]),MONTH(RawSalesTable5[[#This Row],[Order_Date]]),1)</f>
        <v>45778</v>
      </c>
      <c r="AA11" t="str" cm="1">
        <f t="array" ref="AA11">IF(RawSalesTable5[[#This Row],[Lookup_Status]]="Missing Product","",_xlfn.IFS(RawSalesTable5[[#This Row],[Net_Revenue]]&gt;=20000,"High",RawSalesTable5[[#This Row],[Net_Revenue]]&gt;=10000,"Medium",TRUE,"Low"))</f>
        <v>Low</v>
      </c>
    </row>
    <row r="12" spans="1:27">
      <c r="A12" t="s">
        <v>127</v>
      </c>
      <c r="B12" s="15">
        <v>45695</v>
      </c>
      <c r="C12" s="15">
        <v>45699</v>
      </c>
      <c r="D12" t="s">
        <v>83</v>
      </c>
      <c r="E12" t="s">
        <v>106</v>
      </c>
      <c r="F12" t="s">
        <v>115</v>
      </c>
      <c r="G12" t="s">
        <v>94</v>
      </c>
      <c r="H12" t="s">
        <v>87</v>
      </c>
      <c r="I12" s="17">
        <v>2</v>
      </c>
      <c r="J12" s="16">
        <v>0.1</v>
      </c>
      <c r="K12" t="s">
        <v>112</v>
      </c>
      <c r="L12" t="s">
        <v>89</v>
      </c>
      <c r="M12" s="17">
        <v>5</v>
      </c>
      <c r="N12" t="str" cm="1">
        <f t="array" ref="N12">_xlfn.XLOOKUP(RawSalesTable5[[#This Row],[Product_Code]],ProductLookupTable[[#All],[Product_Code]],ProductLookupTable[[#All],[Product_Name]],"NOT FOUND")</f>
        <v>USB-C Hub</v>
      </c>
      <c r="O12" t="str" cm="1">
        <f t="array" ref="O12">_xlfn.XLOOKUP(RawSalesTable5[[#This Row],[Product_Code]],ProductLookupTable[[#All],[Product_Code]],ProductLookupTable[[#All],[Category]],"NOT FOUND")</f>
        <v>Accessories</v>
      </c>
      <c r="P12" cm="1">
        <f t="array" ref="P12">_xlfn.XLOOKUP(RawSalesTable5[[#This Row],[Product_Code]],ProductLookupTable[[#All],[Product_Code]],ProductLookupTable[[#All],[Unit_Price]],"NOT FOUND")</f>
        <v>1599</v>
      </c>
      <c r="Q12" t="str">
        <f>IF(COUNTIF(ProductLookupTable[Product_Code],RawSalesTable5[[#This Row],[Product_Code]])=0,"Missing Product","OK")</f>
        <v>OK</v>
      </c>
      <c r="R12" cm="1">
        <f t="array" ref="R12">_xlfn.XLOOKUP(RawSalesTable5[[#This Row],[Product_Code]],ProductLookupTable[[#All],[Product_Code]],ProductLookupTable[[#All],[Unit_Cost]],"NOT FOUND")</f>
        <v>870</v>
      </c>
      <c r="S12">
        <f>IFERROR(RawSalesTable5[[#This Row],[Quantity]]*RawSalesTable5[[#This Row],[Unit_Price]],"NOT FOUND")</f>
        <v>3198</v>
      </c>
      <c r="T12">
        <f>IFERROR(RawSalesTable5[[#This Row],[Gross_Revenue]]*RawSalesTable5[[#This Row],[Discount_Pct]],"NOT FOUND")</f>
        <v>319.8</v>
      </c>
      <c r="U12">
        <f>IFERROR(RawSalesTable5[[#This Row],[Gross_Revenue]]-RawSalesTable5[[#This Row],[Discount_Value]],"NOT FOUND")</f>
        <v>2878.2</v>
      </c>
      <c r="V12">
        <f>IFERROR(RawSalesTable5[[#This Row],[Quantity]]*RawSalesTable5[[#This Row],[Unit_Cost]],"NOT FOUND")</f>
        <v>1740</v>
      </c>
      <c r="W12">
        <f>IFERROR(RawSalesTable5[[#This Row],[Net_Revenue]]-RawSalesTable5[[#This Row],[Cost]],"NOT FOUND")</f>
        <v>1138.1999999999998</v>
      </c>
      <c r="X12" s="27">
        <f>IF(RawSalesTable5[[#This Row],[Lookup_Status]]="Missing Product","",IFERROR(RawSalesTable5[[#This Row],[Profit]]/RawSalesTable5[[#This Row],[Net_Revenue]],0))</f>
        <v>0.3954554930164686</v>
      </c>
      <c r="Y12">
        <f>RawSalesTable5[[#This Row],[Ship_Date]]-RawSalesTable5[[#This Row],[Order_Date]]</f>
        <v>4</v>
      </c>
      <c r="Z12" s="28">
        <f>DATE(YEAR(RawSalesTable5[[#This Row],[Order_Date]]),MONTH(RawSalesTable5[[#This Row],[Order_Date]]),1)</f>
        <v>45689</v>
      </c>
      <c r="AA12" t="str" cm="1">
        <f t="array" ref="AA12">IF(RawSalesTable5[[#This Row],[Lookup_Status]]="Missing Product","",_xlfn.IFS(RawSalesTable5[[#This Row],[Net_Revenue]]&gt;=20000,"High",RawSalesTable5[[#This Row],[Net_Revenue]]&gt;=10000,"Medium",TRUE,"Low"))</f>
        <v>Low</v>
      </c>
    </row>
    <row r="13" spans="1:27">
      <c r="A13" t="s">
        <v>129</v>
      </c>
      <c r="B13" s="15">
        <v>46006</v>
      </c>
      <c r="C13" s="15">
        <v>46014</v>
      </c>
      <c r="D13" t="s">
        <v>114</v>
      </c>
      <c r="E13" t="s">
        <v>111</v>
      </c>
      <c r="F13" t="s">
        <v>118</v>
      </c>
      <c r="G13" t="s">
        <v>86</v>
      </c>
      <c r="H13" t="s">
        <v>103</v>
      </c>
      <c r="I13" s="17">
        <v>5</v>
      </c>
      <c r="J13" s="16">
        <v>0.1</v>
      </c>
      <c r="K13" t="s">
        <v>88</v>
      </c>
      <c r="L13" t="s">
        <v>89</v>
      </c>
      <c r="M13" s="17">
        <v>5</v>
      </c>
      <c r="N13" t="str" cm="1">
        <f t="array" ref="N13">_xlfn.XLOOKUP(RawSalesTable5[[#This Row],[Product_Code]],ProductLookupTable[[#All],[Product_Code]],ProductLookupTable[[#All],[Product_Name]],"NOT FOUND")</f>
        <v>Mechanical Keyboard</v>
      </c>
      <c r="O13" t="str" cm="1">
        <f t="array" ref="O13">_xlfn.XLOOKUP(RawSalesTable5[[#This Row],[Product_Code]],ProductLookupTable[[#All],[Product_Code]],ProductLookupTable[[#All],[Category]],"NOT FOUND")</f>
        <v>Accessories</v>
      </c>
      <c r="P13" cm="1">
        <f t="array" ref="P13">_xlfn.XLOOKUP(RawSalesTable5[[#This Row],[Product_Code]],ProductLookupTable[[#All],[Product_Code]],ProductLookupTable[[#All],[Unit_Price]],"NOT FOUND")</f>
        <v>2499</v>
      </c>
      <c r="Q13" t="str">
        <f>IF(COUNTIF(ProductLookupTable[Product_Code],RawSalesTable5[[#This Row],[Product_Code]])=0,"Missing Product","OK")</f>
        <v>OK</v>
      </c>
      <c r="R13" cm="1">
        <f t="array" ref="R13">_xlfn.XLOOKUP(RawSalesTable5[[#This Row],[Product_Code]],ProductLookupTable[[#All],[Product_Code]],ProductLookupTable[[#All],[Unit_Cost]],"NOT FOUND")</f>
        <v>1450</v>
      </c>
      <c r="S13">
        <f>IFERROR(RawSalesTable5[[#This Row],[Quantity]]*RawSalesTable5[[#This Row],[Unit_Price]],"NOT FOUND")</f>
        <v>12495</v>
      </c>
      <c r="T13">
        <f>IFERROR(RawSalesTable5[[#This Row],[Gross_Revenue]]*RawSalesTable5[[#This Row],[Discount_Pct]],"NOT FOUND")</f>
        <v>1249.5</v>
      </c>
      <c r="U13">
        <f>IFERROR(RawSalesTable5[[#This Row],[Gross_Revenue]]-RawSalesTable5[[#This Row],[Discount_Value]],"NOT FOUND")</f>
        <v>11245.5</v>
      </c>
      <c r="V13">
        <f>IFERROR(RawSalesTable5[[#This Row],[Quantity]]*RawSalesTable5[[#This Row],[Unit_Cost]],"NOT FOUND")</f>
        <v>7250</v>
      </c>
      <c r="W13">
        <f>IFERROR(RawSalesTable5[[#This Row],[Net_Revenue]]-RawSalesTable5[[#This Row],[Cost]],"NOT FOUND")</f>
        <v>3995.5</v>
      </c>
      <c r="X13" s="27">
        <f>IF(RawSalesTable5[[#This Row],[Lookup_Status]]="Missing Product","",IFERROR(RawSalesTable5[[#This Row],[Profit]]/RawSalesTable5[[#This Row],[Net_Revenue]],0))</f>
        <v>0.35529767462540573</v>
      </c>
      <c r="Y13">
        <f>RawSalesTable5[[#This Row],[Ship_Date]]-RawSalesTable5[[#This Row],[Order_Date]]</f>
        <v>8</v>
      </c>
      <c r="Z13" s="28">
        <f>DATE(YEAR(RawSalesTable5[[#This Row],[Order_Date]]),MONTH(RawSalesTable5[[#This Row],[Order_Date]]),1)</f>
        <v>45992</v>
      </c>
      <c r="AA13" t="str" cm="1">
        <f t="array" ref="AA13">IF(RawSalesTable5[[#This Row],[Lookup_Status]]="Missing Product","",_xlfn.IFS(RawSalesTable5[[#This Row],[Net_Revenue]]&gt;=20000,"High",RawSalesTable5[[#This Row],[Net_Revenue]]&gt;=10000,"Medium",TRUE,"Low"))</f>
        <v>Medium</v>
      </c>
    </row>
    <row r="14" spans="1:27">
      <c r="A14" t="s">
        <v>131</v>
      </c>
      <c r="B14" s="15">
        <v>45775</v>
      </c>
      <c r="C14" s="15">
        <v>45779</v>
      </c>
      <c r="D14" t="s">
        <v>157</v>
      </c>
      <c r="E14" t="s">
        <v>84</v>
      </c>
      <c r="F14" t="s">
        <v>118</v>
      </c>
      <c r="G14" t="s">
        <v>94</v>
      </c>
      <c r="H14" t="s">
        <v>86</v>
      </c>
      <c r="I14" s="17">
        <v>5</v>
      </c>
      <c r="J14" s="16">
        <v>0.15</v>
      </c>
      <c r="K14" t="s">
        <v>88</v>
      </c>
      <c r="L14" t="s">
        <v>89</v>
      </c>
      <c r="M14" s="17">
        <v>5</v>
      </c>
      <c r="N14" t="str" cm="1">
        <f t="array" ref="N14">_xlfn.XLOOKUP(RawSalesTable5[[#This Row],[Product_Code]],ProductLookupTable[[#All],[Product_Code]],ProductLookupTable[[#All],[Product_Name]],"NOT FOUND")</f>
        <v>Mechanical Keyboard</v>
      </c>
      <c r="O14" t="str" cm="1">
        <f t="array" ref="O14">_xlfn.XLOOKUP(RawSalesTable5[[#This Row],[Product_Code]],ProductLookupTable[[#All],[Product_Code]],ProductLookupTable[[#All],[Category]],"NOT FOUND")</f>
        <v>Accessories</v>
      </c>
      <c r="P14" cm="1">
        <f t="array" ref="P14">_xlfn.XLOOKUP(RawSalesTable5[[#This Row],[Product_Code]],ProductLookupTable[[#All],[Product_Code]],ProductLookupTable[[#All],[Unit_Price]],"NOT FOUND")</f>
        <v>2499</v>
      </c>
      <c r="Q14" t="str">
        <f>IF(COUNTIF(ProductLookupTable[Product_Code],RawSalesTable5[[#This Row],[Product_Code]])=0,"Missing Product","OK")</f>
        <v>OK</v>
      </c>
      <c r="R14" cm="1">
        <f t="array" ref="R14">_xlfn.XLOOKUP(RawSalesTable5[[#This Row],[Product_Code]],ProductLookupTable[[#All],[Product_Code]],ProductLookupTable[[#All],[Unit_Cost]],"NOT FOUND")</f>
        <v>1450</v>
      </c>
      <c r="S14">
        <f>IFERROR(RawSalesTable5[[#This Row],[Quantity]]*RawSalesTable5[[#This Row],[Unit_Price]],"NOT FOUND")</f>
        <v>12495</v>
      </c>
      <c r="T14">
        <f>IFERROR(RawSalesTable5[[#This Row],[Gross_Revenue]]*RawSalesTable5[[#This Row],[Discount_Pct]],"NOT FOUND")</f>
        <v>1874.25</v>
      </c>
      <c r="U14">
        <f>IFERROR(RawSalesTable5[[#This Row],[Gross_Revenue]]-RawSalesTable5[[#This Row],[Discount_Value]],"NOT FOUND")</f>
        <v>10620.75</v>
      </c>
      <c r="V14">
        <f>IFERROR(RawSalesTable5[[#This Row],[Quantity]]*RawSalesTable5[[#This Row],[Unit_Cost]],"NOT FOUND")</f>
        <v>7250</v>
      </c>
      <c r="W14">
        <f>IFERROR(RawSalesTable5[[#This Row],[Net_Revenue]]-RawSalesTable5[[#This Row],[Cost]],"NOT FOUND")</f>
        <v>3370.75</v>
      </c>
      <c r="X14" s="27">
        <f>IF(RawSalesTable5[[#This Row],[Lookup_Status]]="Missing Product","",IFERROR(RawSalesTable5[[#This Row],[Profit]]/RawSalesTable5[[#This Row],[Net_Revenue]],0))</f>
        <v>0.31737400842690017</v>
      </c>
      <c r="Y14">
        <f>RawSalesTable5[[#This Row],[Ship_Date]]-RawSalesTable5[[#This Row],[Order_Date]]</f>
        <v>4</v>
      </c>
      <c r="Z14" s="28">
        <f>DATE(YEAR(RawSalesTable5[[#This Row],[Order_Date]]),MONTH(RawSalesTable5[[#This Row],[Order_Date]]),1)</f>
        <v>45748</v>
      </c>
      <c r="AA14" t="str" cm="1">
        <f t="array" ref="AA14">IF(RawSalesTable5[[#This Row],[Lookup_Status]]="Missing Product","",_xlfn.IFS(RawSalesTable5[[#This Row],[Net_Revenue]]&gt;=20000,"High",RawSalesTable5[[#This Row],[Net_Revenue]]&gt;=10000,"Medium",TRUE,"Low"))</f>
        <v>Medium</v>
      </c>
    </row>
    <row r="15" spans="1:27">
      <c r="A15" t="s">
        <v>134</v>
      </c>
      <c r="B15" s="15">
        <v>45873</v>
      </c>
      <c r="C15" s="15">
        <v>45879</v>
      </c>
      <c r="D15" t="s">
        <v>212</v>
      </c>
      <c r="E15" t="s">
        <v>92</v>
      </c>
      <c r="F15" t="s">
        <v>85</v>
      </c>
      <c r="G15" t="s">
        <v>86</v>
      </c>
      <c r="H15" t="s">
        <v>86</v>
      </c>
      <c r="I15" s="17">
        <v>4</v>
      </c>
      <c r="J15" s="16">
        <v>0.1</v>
      </c>
      <c r="K15" t="s">
        <v>140</v>
      </c>
      <c r="L15" t="s">
        <v>89</v>
      </c>
      <c r="M15" s="17">
        <v>4</v>
      </c>
      <c r="N15" t="str" cm="1">
        <f t="array" ref="N15">_xlfn.XLOOKUP(RawSalesTable5[[#This Row],[Product_Code]],ProductLookupTable[[#All],[Product_Code]],ProductLookupTable[[#All],[Product_Name]],"NOT FOUND")</f>
        <v>Ergonomic Chair</v>
      </c>
      <c r="O15" t="str" cm="1">
        <f t="array" ref="O15">_xlfn.XLOOKUP(RawSalesTable5[[#This Row],[Product_Code]],ProductLookupTable[[#All],[Product_Code]],ProductLookupTable[[#All],[Category]],"NOT FOUND")</f>
        <v>Furniture</v>
      </c>
      <c r="P15" cm="1">
        <f t="array" ref="P15">_xlfn.XLOOKUP(RawSalesTable5[[#This Row],[Product_Code]],ProductLookupTable[[#All],[Product_Code]],ProductLookupTable[[#All],[Unit_Price]],"NOT FOUND")</f>
        <v>10499</v>
      </c>
      <c r="Q15" t="str">
        <f>IF(COUNTIF(ProductLookupTable[Product_Code],RawSalesTable5[[#This Row],[Product_Code]])=0,"Missing Product","OK")</f>
        <v>OK</v>
      </c>
      <c r="R15" cm="1">
        <f t="array" ref="R15">_xlfn.XLOOKUP(RawSalesTable5[[#This Row],[Product_Code]],ProductLookupTable[[#All],[Product_Code]],ProductLookupTable[[#All],[Unit_Cost]],"NOT FOUND")</f>
        <v>7600</v>
      </c>
      <c r="S15">
        <f>IFERROR(RawSalesTable5[[#This Row],[Quantity]]*RawSalesTable5[[#This Row],[Unit_Price]],"NOT FOUND")</f>
        <v>41996</v>
      </c>
      <c r="T15">
        <f>IFERROR(RawSalesTable5[[#This Row],[Gross_Revenue]]*RawSalesTable5[[#This Row],[Discount_Pct]],"NOT FOUND")</f>
        <v>4199.6000000000004</v>
      </c>
      <c r="U15">
        <f>IFERROR(RawSalesTable5[[#This Row],[Gross_Revenue]]-RawSalesTable5[[#This Row],[Discount_Value]],"NOT FOUND")</f>
        <v>37796.400000000001</v>
      </c>
      <c r="V15">
        <f>IFERROR(RawSalesTable5[[#This Row],[Quantity]]*RawSalesTable5[[#This Row],[Unit_Cost]],"NOT FOUND")</f>
        <v>30400</v>
      </c>
      <c r="W15">
        <f>IFERROR(RawSalesTable5[[#This Row],[Net_Revenue]]-RawSalesTable5[[#This Row],[Cost]],"NOT FOUND")</f>
        <v>7396.4000000000015</v>
      </c>
      <c r="X15" s="27">
        <f>IF(RawSalesTable5[[#This Row],[Lookup_Status]]="Missing Product","",IFERROR(RawSalesTable5[[#This Row],[Profit]]/RawSalesTable5[[#This Row],[Net_Revenue]],0))</f>
        <v>0.19569059487146928</v>
      </c>
      <c r="Y15">
        <f>RawSalesTable5[[#This Row],[Ship_Date]]-RawSalesTable5[[#This Row],[Order_Date]]</f>
        <v>6</v>
      </c>
      <c r="Z15" s="28">
        <f>DATE(YEAR(RawSalesTable5[[#This Row],[Order_Date]]),MONTH(RawSalesTable5[[#This Row],[Order_Date]]),1)</f>
        <v>45870</v>
      </c>
      <c r="AA15" t="str" cm="1">
        <f t="array" ref="AA15">IF(RawSalesTable5[[#This Row],[Lookup_Status]]="Missing Product","",_xlfn.IFS(RawSalesTable5[[#This Row],[Net_Revenue]]&gt;=20000,"High",RawSalesTable5[[#This Row],[Net_Revenue]]&gt;=10000,"Medium",TRUE,"Low"))</f>
        <v>High</v>
      </c>
    </row>
    <row r="16" spans="1:27">
      <c r="A16" t="s">
        <v>137</v>
      </c>
      <c r="B16" s="15">
        <v>45739</v>
      </c>
      <c r="C16" s="15">
        <v>45741</v>
      </c>
      <c r="D16" t="s">
        <v>123</v>
      </c>
      <c r="E16" t="s">
        <v>98</v>
      </c>
      <c r="F16" t="s">
        <v>138</v>
      </c>
      <c r="G16" t="s">
        <v>108</v>
      </c>
      <c r="H16" t="s">
        <v>87</v>
      </c>
      <c r="I16" s="17">
        <v>3</v>
      </c>
      <c r="J16" s="16">
        <v>0.15</v>
      </c>
      <c r="K16" t="s">
        <v>88</v>
      </c>
      <c r="L16" t="s">
        <v>89</v>
      </c>
      <c r="M16" s="17">
        <v>5</v>
      </c>
      <c r="N16" t="str" cm="1">
        <f t="array" ref="N16">_xlfn.XLOOKUP(RawSalesTable5[[#This Row],[Product_Code]],ProductLookupTable[[#All],[Product_Code]],ProductLookupTable[[#All],[Product_Name]],"NOT FOUND")</f>
        <v>24-inch Monitor</v>
      </c>
      <c r="O16" t="str" cm="1">
        <f t="array" ref="O16">_xlfn.XLOOKUP(RawSalesTable5[[#This Row],[Product_Code]],ProductLookupTable[[#All],[Product_Code]],ProductLookupTable[[#All],[Category]],"NOT FOUND")</f>
        <v>Displays</v>
      </c>
      <c r="P16" cm="1">
        <f t="array" ref="P16">_xlfn.XLOOKUP(RawSalesTable5[[#This Row],[Product_Code]],ProductLookupTable[[#All],[Product_Code]],ProductLookupTable[[#All],[Unit_Price]],"NOT FOUND")</f>
        <v>12999</v>
      </c>
      <c r="Q16" t="str">
        <f>IF(COUNTIF(ProductLookupTable[Product_Code],RawSalesTable5[[#This Row],[Product_Code]])=0,"Missing Product","OK")</f>
        <v>OK</v>
      </c>
      <c r="R16" cm="1">
        <f t="array" ref="R16">_xlfn.XLOOKUP(RawSalesTable5[[#This Row],[Product_Code]],ProductLookupTable[[#All],[Product_Code]],ProductLookupTable[[#All],[Unit_Cost]],"NOT FOUND")</f>
        <v>9100</v>
      </c>
      <c r="S16">
        <f>IFERROR(RawSalesTable5[[#This Row],[Quantity]]*RawSalesTable5[[#This Row],[Unit_Price]],"NOT FOUND")</f>
        <v>38997</v>
      </c>
      <c r="T16">
        <f>IFERROR(RawSalesTable5[[#This Row],[Gross_Revenue]]*RawSalesTable5[[#This Row],[Discount_Pct]],"NOT FOUND")</f>
        <v>5849.55</v>
      </c>
      <c r="U16">
        <f>IFERROR(RawSalesTable5[[#This Row],[Gross_Revenue]]-RawSalesTable5[[#This Row],[Discount_Value]],"NOT FOUND")</f>
        <v>33147.449999999997</v>
      </c>
      <c r="V16">
        <f>IFERROR(RawSalesTable5[[#This Row],[Quantity]]*RawSalesTable5[[#This Row],[Unit_Cost]],"NOT FOUND")</f>
        <v>27300</v>
      </c>
      <c r="W16">
        <f>IFERROR(RawSalesTable5[[#This Row],[Net_Revenue]]-RawSalesTable5[[#This Row],[Cost]],"NOT FOUND")</f>
        <v>5847.4499999999971</v>
      </c>
      <c r="X16" s="27">
        <f>IF(RawSalesTable5[[#This Row],[Lookup_Status]]="Missing Product","",IFERROR(RawSalesTable5[[#This Row],[Profit]]/RawSalesTable5[[#This Row],[Net_Revenue]],0))</f>
        <v>0.17640723494567448</v>
      </c>
      <c r="Y16">
        <f>RawSalesTable5[[#This Row],[Ship_Date]]-RawSalesTable5[[#This Row],[Order_Date]]</f>
        <v>2</v>
      </c>
      <c r="Z16" s="28">
        <f>DATE(YEAR(RawSalesTable5[[#This Row],[Order_Date]]),MONTH(RawSalesTable5[[#This Row],[Order_Date]]),1)</f>
        <v>45717</v>
      </c>
      <c r="AA16" t="str" cm="1">
        <f t="array" ref="AA16">IF(RawSalesTable5[[#This Row],[Lookup_Status]]="Missing Product","",_xlfn.IFS(RawSalesTable5[[#This Row],[Net_Revenue]]&gt;=20000,"High",RawSalesTable5[[#This Row],[Net_Revenue]]&gt;=10000,"Medium",TRUE,"Low"))</f>
        <v>High</v>
      </c>
    </row>
    <row r="17" spans="1:27">
      <c r="A17" t="s">
        <v>139</v>
      </c>
      <c r="B17" s="15">
        <v>45783</v>
      </c>
      <c r="C17" s="15">
        <v>45789</v>
      </c>
      <c r="D17" t="s">
        <v>83</v>
      </c>
      <c r="E17" t="s">
        <v>101</v>
      </c>
      <c r="F17" t="s">
        <v>121</v>
      </c>
      <c r="G17" t="s">
        <v>125</v>
      </c>
      <c r="H17" t="s">
        <v>86</v>
      </c>
      <c r="I17" s="17">
        <v>5</v>
      </c>
      <c r="J17" s="16">
        <v>0</v>
      </c>
      <c r="K17" t="s">
        <v>140</v>
      </c>
      <c r="L17" t="s">
        <v>89</v>
      </c>
      <c r="M17" s="17">
        <v>4</v>
      </c>
      <c r="N17" t="str" cm="1">
        <f t="array" ref="N17">_xlfn.XLOOKUP(RawSalesTable5[[#This Row],[Product_Code]],ProductLookupTable[[#All],[Product_Code]],ProductLookupTable[[#All],[Product_Name]],"NOT FOUND")</f>
        <v>HD Webcam</v>
      </c>
      <c r="O17" t="str" cm="1">
        <f t="array" ref="O17">_xlfn.XLOOKUP(RawSalesTable5[[#This Row],[Product_Code]],ProductLookupTable[[#All],[Product_Code]],ProductLookupTable[[#All],[Category]],"NOT FOUND")</f>
        <v>Accessories</v>
      </c>
      <c r="P17" cm="1">
        <f t="array" ref="P17">_xlfn.XLOOKUP(RawSalesTable5[[#This Row],[Product_Code]],ProductLookupTable[[#All],[Product_Code]],ProductLookupTable[[#All],[Unit_Price]],"NOT FOUND")</f>
        <v>2899</v>
      </c>
      <c r="Q17" t="str">
        <f>IF(COUNTIF(ProductLookupTable[Product_Code],RawSalesTable5[[#This Row],[Product_Code]])=0,"Missing Product","OK")</f>
        <v>OK</v>
      </c>
      <c r="R17" cm="1">
        <f t="array" ref="R17">_xlfn.XLOOKUP(RawSalesTable5[[#This Row],[Product_Code]],ProductLookupTable[[#All],[Product_Code]],ProductLookupTable[[#All],[Unit_Cost]],"NOT FOUND")</f>
        <v>1700</v>
      </c>
      <c r="S17">
        <f>IFERROR(RawSalesTable5[[#This Row],[Quantity]]*RawSalesTable5[[#This Row],[Unit_Price]],"NOT FOUND")</f>
        <v>14495</v>
      </c>
      <c r="T17">
        <f>IFERROR(RawSalesTable5[[#This Row],[Gross_Revenue]]*RawSalesTable5[[#This Row],[Discount_Pct]],"NOT FOUND")</f>
        <v>0</v>
      </c>
      <c r="U17">
        <f>IFERROR(RawSalesTable5[[#This Row],[Gross_Revenue]]-RawSalesTable5[[#This Row],[Discount_Value]],"NOT FOUND")</f>
        <v>14495</v>
      </c>
      <c r="V17">
        <f>IFERROR(RawSalesTable5[[#This Row],[Quantity]]*RawSalesTable5[[#This Row],[Unit_Cost]],"NOT FOUND")</f>
        <v>8500</v>
      </c>
      <c r="W17">
        <f>IFERROR(RawSalesTable5[[#This Row],[Net_Revenue]]-RawSalesTable5[[#This Row],[Cost]],"NOT FOUND")</f>
        <v>5995</v>
      </c>
      <c r="X17" s="27">
        <f>IF(RawSalesTable5[[#This Row],[Lookup_Status]]="Missing Product","",IFERROR(RawSalesTable5[[#This Row],[Profit]]/RawSalesTable5[[#This Row],[Net_Revenue]],0))</f>
        <v>0.41359089341152122</v>
      </c>
      <c r="Y17">
        <f>RawSalesTable5[[#This Row],[Ship_Date]]-RawSalesTable5[[#This Row],[Order_Date]]</f>
        <v>6</v>
      </c>
      <c r="Z17" s="28">
        <f>DATE(YEAR(RawSalesTable5[[#This Row],[Order_Date]]),MONTH(RawSalesTable5[[#This Row],[Order_Date]]),1)</f>
        <v>45778</v>
      </c>
      <c r="AA17" t="str" cm="1">
        <f t="array" ref="AA17">IF(RawSalesTable5[[#This Row],[Lookup_Status]]="Missing Product","",_xlfn.IFS(RawSalesTable5[[#This Row],[Net_Revenue]]&gt;=20000,"High",RawSalesTable5[[#This Row],[Net_Revenue]]&gt;=10000,"Medium",TRUE,"Low"))</f>
        <v>Medium</v>
      </c>
    </row>
    <row r="18" spans="1:27">
      <c r="A18" t="s">
        <v>141</v>
      </c>
      <c r="B18" s="15">
        <v>45980</v>
      </c>
      <c r="C18" s="15">
        <v>45986</v>
      </c>
      <c r="D18" t="s">
        <v>114</v>
      </c>
      <c r="E18" t="s">
        <v>106</v>
      </c>
      <c r="F18" t="s">
        <v>102</v>
      </c>
      <c r="G18" t="s">
        <v>94</v>
      </c>
      <c r="H18" t="s">
        <v>86</v>
      </c>
      <c r="I18" s="17">
        <v>5</v>
      </c>
      <c r="J18" s="16">
        <v>0.05</v>
      </c>
      <c r="K18" t="s">
        <v>95</v>
      </c>
      <c r="L18" t="s">
        <v>89</v>
      </c>
      <c r="M18" s="17">
        <v>4</v>
      </c>
      <c r="N18" t="str" cm="1">
        <f t="array" ref="N18">_xlfn.XLOOKUP(RawSalesTable5[[#This Row],[Product_Code]],ProductLookupTable[[#All],[Product_Code]],ProductLookupTable[[#All],[Product_Name]],"NOT FOUND")</f>
        <v>SSD 1TB</v>
      </c>
      <c r="O18" t="str" cm="1">
        <f t="array" ref="O18">_xlfn.XLOOKUP(RawSalesTable5[[#This Row],[Product_Code]],ProductLookupTable[[#All],[Product_Code]],ProductLookupTable[[#All],[Category]],"NOT FOUND")</f>
        <v>Storage</v>
      </c>
      <c r="P18" cm="1">
        <f t="array" ref="P18">_xlfn.XLOOKUP(RawSalesTable5[[#This Row],[Product_Code]],ProductLookupTable[[#All],[Product_Code]],ProductLookupTable[[#All],[Unit_Price]],"NOT FOUND")</f>
        <v>6999</v>
      </c>
      <c r="Q18" t="str">
        <f>IF(COUNTIF(ProductLookupTable[Product_Code],RawSalesTable5[[#This Row],[Product_Code]])=0,"Missing Product","OK")</f>
        <v>OK</v>
      </c>
      <c r="R18" cm="1">
        <f t="array" ref="R18">_xlfn.XLOOKUP(RawSalesTable5[[#This Row],[Product_Code]],ProductLookupTable[[#All],[Product_Code]],ProductLookupTable[[#All],[Unit_Cost]],"NOT FOUND")</f>
        <v>4900</v>
      </c>
      <c r="S18">
        <f>IFERROR(RawSalesTable5[[#This Row],[Quantity]]*RawSalesTable5[[#This Row],[Unit_Price]],"NOT FOUND")</f>
        <v>34995</v>
      </c>
      <c r="T18">
        <f>IFERROR(RawSalesTable5[[#This Row],[Gross_Revenue]]*RawSalesTable5[[#This Row],[Discount_Pct]],"NOT FOUND")</f>
        <v>1749.75</v>
      </c>
      <c r="U18">
        <f>IFERROR(RawSalesTable5[[#This Row],[Gross_Revenue]]-RawSalesTable5[[#This Row],[Discount_Value]],"NOT FOUND")</f>
        <v>33245.25</v>
      </c>
      <c r="V18">
        <f>IFERROR(RawSalesTable5[[#This Row],[Quantity]]*RawSalesTable5[[#This Row],[Unit_Cost]],"NOT FOUND")</f>
        <v>24500</v>
      </c>
      <c r="W18">
        <f>IFERROR(RawSalesTable5[[#This Row],[Net_Revenue]]-RawSalesTable5[[#This Row],[Cost]],"NOT FOUND")</f>
        <v>8745.25</v>
      </c>
      <c r="X18" s="27">
        <f>IF(RawSalesTable5[[#This Row],[Lookup_Status]]="Missing Product","",IFERROR(RawSalesTable5[[#This Row],[Profit]]/RawSalesTable5[[#This Row],[Net_Revenue]],0))</f>
        <v>0.26305261653920486</v>
      </c>
      <c r="Y18">
        <f>RawSalesTable5[[#This Row],[Ship_Date]]-RawSalesTable5[[#This Row],[Order_Date]]</f>
        <v>6</v>
      </c>
      <c r="Z18" s="28">
        <f>DATE(YEAR(RawSalesTable5[[#This Row],[Order_Date]]),MONTH(RawSalesTable5[[#This Row],[Order_Date]]),1)</f>
        <v>45962</v>
      </c>
      <c r="AA18" t="str" cm="1">
        <f t="array" ref="AA18">IF(RawSalesTable5[[#This Row],[Lookup_Status]]="Missing Product","",_xlfn.IFS(RawSalesTable5[[#This Row],[Net_Revenue]]&gt;=20000,"High",RawSalesTable5[[#This Row],[Net_Revenue]]&gt;=10000,"Medium",TRUE,"Low"))</f>
        <v>High</v>
      </c>
    </row>
    <row r="19" spans="1:27">
      <c r="A19" t="s">
        <v>142</v>
      </c>
      <c r="B19" s="15">
        <v>45905</v>
      </c>
      <c r="C19" s="15">
        <v>45909</v>
      </c>
      <c r="D19" t="s">
        <v>157</v>
      </c>
      <c r="E19" t="s">
        <v>111</v>
      </c>
      <c r="F19" t="s">
        <v>107</v>
      </c>
      <c r="G19" t="s">
        <v>108</v>
      </c>
      <c r="H19" t="s">
        <v>103</v>
      </c>
      <c r="I19" s="17">
        <v>1</v>
      </c>
      <c r="J19" s="16">
        <v>0.15</v>
      </c>
      <c r="K19" t="s">
        <v>112</v>
      </c>
      <c r="L19" t="s">
        <v>89</v>
      </c>
      <c r="M19" s="17">
        <v>5</v>
      </c>
      <c r="N19" t="str" cm="1">
        <f t="array" ref="N19">_xlfn.XLOOKUP(RawSalesTable5[[#This Row],[Product_Code]],ProductLookupTable[[#All],[Product_Code]],ProductLookupTable[[#All],[Product_Name]],"NOT FOUND")</f>
        <v>Bluetooth Speaker</v>
      </c>
      <c r="O19" t="str" cm="1">
        <f t="array" ref="O19">_xlfn.XLOOKUP(RawSalesTable5[[#This Row],[Product_Code]],ProductLookupTable[[#All],[Product_Code]],ProductLookupTable[[#All],[Category]],"NOT FOUND")</f>
        <v>Audio</v>
      </c>
      <c r="P19" cm="1">
        <f t="array" ref="P19">_xlfn.XLOOKUP(RawSalesTable5[[#This Row],[Product_Code]],ProductLookupTable[[#All],[Product_Code]],ProductLookupTable[[#All],[Unit_Price]],"NOT FOUND")</f>
        <v>2799</v>
      </c>
      <c r="Q19" t="str">
        <f>IF(COUNTIF(ProductLookupTable[Product_Code],RawSalesTable5[[#This Row],[Product_Code]])=0,"Missing Product","OK")</f>
        <v>OK</v>
      </c>
      <c r="R19" cm="1">
        <f t="array" ref="R19">_xlfn.XLOOKUP(RawSalesTable5[[#This Row],[Product_Code]],ProductLookupTable[[#All],[Product_Code]],ProductLookupTable[[#All],[Unit_Cost]],"NOT FOUND")</f>
        <v>1650</v>
      </c>
      <c r="S19">
        <f>IFERROR(RawSalesTable5[[#This Row],[Quantity]]*RawSalesTable5[[#This Row],[Unit_Price]],"NOT FOUND")</f>
        <v>2799</v>
      </c>
      <c r="T19">
        <f>IFERROR(RawSalesTable5[[#This Row],[Gross_Revenue]]*RawSalesTable5[[#This Row],[Discount_Pct]],"NOT FOUND")</f>
        <v>419.84999999999997</v>
      </c>
      <c r="U19">
        <f>IFERROR(RawSalesTable5[[#This Row],[Gross_Revenue]]-RawSalesTable5[[#This Row],[Discount_Value]],"NOT FOUND")</f>
        <v>2379.15</v>
      </c>
      <c r="V19">
        <f>IFERROR(RawSalesTable5[[#This Row],[Quantity]]*RawSalesTable5[[#This Row],[Unit_Cost]],"NOT FOUND")</f>
        <v>1650</v>
      </c>
      <c r="W19">
        <f>IFERROR(RawSalesTable5[[#This Row],[Net_Revenue]]-RawSalesTable5[[#This Row],[Cost]],"NOT FOUND")</f>
        <v>729.15000000000009</v>
      </c>
      <c r="X19" s="27">
        <f>IF(RawSalesTable5[[#This Row],[Lookup_Status]]="Missing Product","",IFERROR(RawSalesTable5[[#This Row],[Profit]]/RawSalesTable5[[#This Row],[Net_Revenue]],0))</f>
        <v>0.30647500157619323</v>
      </c>
      <c r="Y19">
        <f>RawSalesTable5[[#This Row],[Ship_Date]]-RawSalesTable5[[#This Row],[Order_Date]]</f>
        <v>4</v>
      </c>
      <c r="Z19" s="28">
        <f>DATE(YEAR(RawSalesTable5[[#This Row],[Order_Date]]),MONTH(RawSalesTable5[[#This Row],[Order_Date]]),1)</f>
        <v>45901</v>
      </c>
      <c r="AA19" t="str" cm="1">
        <f t="array" ref="AA19">IF(RawSalesTable5[[#This Row],[Lookup_Status]]="Missing Product","",_xlfn.IFS(RawSalesTable5[[#This Row],[Net_Revenue]]&gt;=20000,"High",RawSalesTable5[[#This Row],[Net_Revenue]]&gt;=10000,"Medium",TRUE,"Low"))</f>
        <v>Low</v>
      </c>
    </row>
    <row r="20" spans="1:27">
      <c r="A20" t="s">
        <v>143</v>
      </c>
      <c r="B20" s="15">
        <v>45959</v>
      </c>
      <c r="C20" s="15">
        <v>45964</v>
      </c>
      <c r="D20" t="s">
        <v>212</v>
      </c>
      <c r="E20" t="s">
        <v>84</v>
      </c>
      <c r="F20" t="s">
        <v>138</v>
      </c>
      <c r="G20" t="s">
        <v>94</v>
      </c>
      <c r="H20" t="s">
        <v>87</v>
      </c>
      <c r="I20" s="17">
        <v>2</v>
      </c>
      <c r="J20" s="16">
        <v>0</v>
      </c>
      <c r="K20" t="s">
        <v>140</v>
      </c>
      <c r="L20" t="s">
        <v>89</v>
      </c>
      <c r="M20" s="17">
        <v>3</v>
      </c>
      <c r="N20" t="str" cm="1">
        <f t="array" ref="N20">_xlfn.XLOOKUP(RawSalesTable5[[#This Row],[Product_Code]],ProductLookupTable[[#All],[Product_Code]],ProductLookupTable[[#All],[Product_Name]],"NOT FOUND")</f>
        <v>24-inch Monitor</v>
      </c>
      <c r="O20" t="str" cm="1">
        <f t="array" ref="O20">_xlfn.XLOOKUP(RawSalesTable5[[#This Row],[Product_Code]],ProductLookupTable[[#All],[Product_Code]],ProductLookupTable[[#All],[Category]],"NOT FOUND")</f>
        <v>Displays</v>
      </c>
      <c r="P20" cm="1">
        <f t="array" ref="P20">_xlfn.XLOOKUP(RawSalesTable5[[#This Row],[Product_Code]],ProductLookupTable[[#All],[Product_Code]],ProductLookupTable[[#All],[Unit_Price]],"NOT FOUND")</f>
        <v>12999</v>
      </c>
      <c r="Q20" t="str">
        <f>IF(COUNTIF(ProductLookupTable[Product_Code],RawSalesTable5[[#This Row],[Product_Code]])=0,"Missing Product","OK")</f>
        <v>OK</v>
      </c>
      <c r="R20" cm="1">
        <f t="array" ref="R20">_xlfn.XLOOKUP(RawSalesTable5[[#This Row],[Product_Code]],ProductLookupTable[[#All],[Product_Code]],ProductLookupTable[[#All],[Unit_Cost]],"NOT FOUND")</f>
        <v>9100</v>
      </c>
      <c r="S20">
        <f>IFERROR(RawSalesTable5[[#This Row],[Quantity]]*RawSalesTable5[[#This Row],[Unit_Price]],"NOT FOUND")</f>
        <v>25998</v>
      </c>
      <c r="T20">
        <f>IFERROR(RawSalesTable5[[#This Row],[Gross_Revenue]]*RawSalesTable5[[#This Row],[Discount_Pct]],"NOT FOUND")</f>
        <v>0</v>
      </c>
      <c r="U20">
        <f>IFERROR(RawSalesTable5[[#This Row],[Gross_Revenue]]-RawSalesTable5[[#This Row],[Discount_Value]],"NOT FOUND")</f>
        <v>25998</v>
      </c>
      <c r="V20">
        <f>IFERROR(RawSalesTable5[[#This Row],[Quantity]]*RawSalesTable5[[#This Row],[Unit_Cost]],"NOT FOUND")</f>
        <v>18200</v>
      </c>
      <c r="W20">
        <f>IFERROR(RawSalesTable5[[#This Row],[Net_Revenue]]-RawSalesTable5[[#This Row],[Cost]],"NOT FOUND")</f>
        <v>7798</v>
      </c>
      <c r="X20" s="27">
        <f>IF(RawSalesTable5[[#This Row],[Lookup_Status]]="Missing Product","",IFERROR(RawSalesTable5[[#This Row],[Profit]]/RawSalesTable5[[#This Row],[Net_Revenue]],0))</f>
        <v>0.29994614970382338</v>
      </c>
      <c r="Y20">
        <f>RawSalesTable5[[#This Row],[Ship_Date]]-RawSalesTable5[[#This Row],[Order_Date]]</f>
        <v>5</v>
      </c>
      <c r="Z20" s="28">
        <f>DATE(YEAR(RawSalesTable5[[#This Row],[Order_Date]]),MONTH(RawSalesTable5[[#This Row],[Order_Date]]),1)</f>
        <v>45931</v>
      </c>
      <c r="AA20" t="str" cm="1">
        <f t="array" ref="AA20">IF(RawSalesTable5[[#This Row],[Lookup_Status]]="Missing Product","",_xlfn.IFS(RawSalesTable5[[#This Row],[Net_Revenue]]&gt;=20000,"High",RawSalesTable5[[#This Row],[Net_Revenue]]&gt;=10000,"Medium",TRUE,"Low"))</f>
        <v>High</v>
      </c>
    </row>
    <row r="21" spans="1:27">
      <c r="A21" t="s">
        <v>144</v>
      </c>
      <c r="B21" s="15">
        <v>46013</v>
      </c>
      <c r="C21" s="15">
        <v>46014</v>
      </c>
      <c r="D21" t="s">
        <v>531</v>
      </c>
      <c r="E21" t="s">
        <v>92</v>
      </c>
      <c r="F21" t="s">
        <v>115</v>
      </c>
      <c r="G21" t="s">
        <v>125</v>
      </c>
      <c r="H21" t="s">
        <v>86</v>
      </c>
      <c r="I21" s="17">
        <v>2</v>
      </c>
      <c r="J21" s="16">
        <v>0.15</v>
      </c>
      <c r="K21" t="s">
        <v>112</v>
      </c>
      <c r="L21" t="s">
        <v>126</v>
      </c>
      <c r="M21" s="17">
        <v>1</v>
      </c>
      <c r="N21" t="str" cm="1">
        <f t="array" ref="N21">_xlfn.XLOOKUP(RawSalesTable5[[#This Row],[Product_Code]],ProductLookupTable[[#All],[Product_Code]],ProductLookupTable[[#All],[Product_Name]],"NOT FOUND")</f>
        <v>USB-C Hub</v>
      </c>
      <c r="O21" t="str" cm="1">
        <f t="array" ref="O21">_xlfn.XLOOKUP(RawSalesTable5[[#This Row],[Product_Code]],ProductLookupTable[[#All],[Product_Code]],ProductLookupTable[[#All],[Category]],"NOT FOUND")</f>
        <v>Accessories</v>
      </c>
      <c r="P21" cm="1">
        <f t="array" ref="P21">_xlfn.XLOOKUP(RawSalesTable5[[#This Row],[Product_Code]],ProductLookupTable[[#All],[Product_Code]],ProductLookupTable[[#All],[Unit_Price]],"NOT FOUND")</f>
        <v>1599</v>
      </c>
      <c r="Q21" t="str">
        <f>IF(COUNTIF(ProductLookupTable[Product_Code],RawSalesTable5[[#This Row],[Product_Code]])=0,"Missing Product","OK")</f>
        <v>OK</v>
      </c>
      <c r="R21" cm="1">
        <f t="array" ref="R21">_xlfn.XLOOKUP(RawSalesTable5[[#This Row],[Product_Code]],ProductLookupTable[[#All],[Product_Code]],ProductLookupTable[[#All],[Unit_Cost]],"NOT FOUND")</f>
        <v>870</v>
      </c>
      <c r="S21">
        <f>IFERROR(RawSalesTable5[[#This Row],[Quantity]]*RawSalesTable5[[#This Row],[Unit_Price]],"NOT FOUND")</f>
        <v>3198</v>
      </c>
      <c r="T21">
        <f>IFERROR(RawSalesTable5[[#This Row],[Gross_Revenue]]*RawSalesTable5[[#This Row],[Discount_Pct]],"NOT FOUND")</f>
        <v>479.7</v>
      </c>
      <c r="U21">
        <f>IFERROR(RawSalesTable5[[#This Row],[Gross_Revenue]]-RawSalesTable5[[#This Row],[Discount_Value]],"NOT FOUND")</f>
        <v>2718.3</v>
      </c>
      <c r="V21">
        <f>IFERROR(RawSalesTable5[[#This Row],[Quantity]]*RawSalesTable5[[#This Row],[Unit_Cost]],"NOT FOUND")</f>
        <v>1740</v>
      </c>
      <c r="W21">
        <f>IFERROR(RawSalesTable5[[#This Row],[Net_Revenue]]-RawSalesTable5[[#This Row],[Cost]],"NOT FOUND")</f>
        <v>978.30000000000018</v>
      </c>
      <c r="X21" s="27">
        <f>IF(RawSalesTable5[[#This Row],[Lookup_Status]]="Missing Product","",IFERROR(RawSalesTable5[[#This Row],[Profit]]/RawSalesTable5[[#This Row],[Net_Revenue]],0))</f>
        <v>0.35989405142920211</v>
      </c>
      <c r="Y21">
        <f>RawSalesTable5[[#This Row],[Ship_Date]]-RawSalesTable5[[#This Row],[Order_Date]]</f>
        <v>1</v>
      </c>
      <c r="Z21" s="28">
        <f>DATE(YEAR(RawSalesTable5[[#This Row],[Order_Date]]),MONTH(RawSalesTable5[[#This Row],[Order_Date]]),1)</f>
        <v>45992</v>
      </c>
      <c r="AA21" t="str" cm="1">
        <f t="array" ref="AA21">IF(RawSalesTable5[[#This Row],[Lookup_Status]]="Missing Product","",_xlfn.IFS(RawSalesTable5[[#This Row],[Net_Revenue]]&gt;=20000,"High",RawSalesTable5[[#This Row],[Net_Revenue]]&gt;=10000,"Medium",TRUE,"Low"))</f>
        <v>Low</v>
      </c>
    </row>
    <row r="22" spans="1:27">
      <c r="A22" t="s">
        <v>145</v>
      </c>
      <c r="B22" s="15">
        <v>45714</v>
      </c>
      <c r="C22" s="15">
        <v>45720</v>
      </c>
      <c r="D22" t="s">
        <v>83</v>
      </c>
      <c r="E22" t="s">
        <v>98</v>
      </c>
      <c r="F22" t="s">
        <v>147</v>
      </c>
      <c r="G22" t="s">
        <v>108</v>
      </c>
      <c r="H22" t="s">
        <v>103</v>
      </c>
      <c r="I22" s="17">
        <v>1</v>
      </c>
      <c r="J22" s="16">
        <v>0.1</v>
      </c>
      <c r="K22" t="s">
        <v>112</v>
      </c>
      <c r="L22" t="s">
        <v>89</v>
      </c>
      <c r="M22" s="17">
        <v>4</v>
      </c>
      <c r="N22" t="str" cm="1">
        <f t="array" ref="N22">_xlfn.XLOOKUP(RawSalesTable5[[#This Row],[Product_Code]],ProductLookupTable[[#All],[Product_Code]],ProductLookupTable[[#All],[Product_Name]],"NOT FOUND")</f>
        <v>LED Desk Lamp</v>
      </c>
      <c r="O22" t="str" cm="1">
        <f t="array" ref="O22">_xlfn.XLOOKUP(RawSalesTable5[[#This Row],[Product_Code]],ProductLookupTable[[#All],[Product_Code]],ProductLookupTable[[#All],[Category]],"NOT FOUND")</f>
        <v>Furniture</v>
      </c>
      <c r="P22" cm="1">
        <f t="array" ref="P22">_xlfn.XLOOKUP(RawSalesTable5[[#This Row],[Product_Code]],ProductLookupTable[[#All],[Product_Code]],ProductLookupTable[[#All],[Unit_Price]],"NOT FOUND")</f>
        <v>1999</v>
      </c>
      <c r="Q22" t="str">
        <f>IF(COUNTIF(ProductLookupTable[Product_Code],RawSalesTable5[[#This Row],[Product_Code]])=0,"Missing Product","OK")</f>
        <v>OK</v>
      </c>
      <c r="R22" cm="1">
        <f t="array" ref="R22">_xlfn.XLOOKUP(RawSalesTable5[[#This Row],[Product_Code]],ProductLookupTable[[#All],[Product_Code]],ProductLookupTable[[#All],[Unit_Cost]],"NOT FOUND")</f>
        <v>1050</v>
      </c>
      <c r="S22">
        <f>IFERROR(RawSalesTable5[[#This Row],[Quantity]]*RawSalesTable5[[#This Row],[Unit_Price]],"NOT FOUND")</f>
        <v>1999</v>
      </c>
      <c r="T22">
        <f>IFERROR(RawSalesTable5[[#This Row],[Gross_Revenue]]*RawSalesTable5[[#This Row],[Discount_Pct]],"NOT FOUND")</f>
        <v>199.9</v>
      </c>
      <c r="U22">
        <f>IFERROR(RawSalesTable5[[#This Row],[Gross_Revenue]]-RawSalesTable5[[#This Row],[Discount_Value]],"NOT FOUND")</f>
        <v>1799.1</v>
      </c>
      <c r="V22">
        <f>IFERROR(RawSalesTable5[[#This Row],[Quantity]]*RawSalesTable5[[#This Row],[Unit_Cost]],"NOT FOUND")</f>
        <v>1050</v>
      </c>
      <c r="W22">
        <f>IFERROR(RawSalesTable5[[#This Row],[Net_Revenue]]-RawSalesTable5[[#This Row],[Cost]],"NOT FOUND")</f>
        <v>749.09999999999991</v>
      </c>
      <c r="X22" s="27">
        <f>IF(RawSalesTable5[[#This Row],[Lookup_Status]]="Missing Product","",IFERROR(RawSalesTable5[[#This Row],[Profit]]/RawSalesTable5[[#This Row],[Net_Revenue]],0))</f>
        <v>0.4163748540937135</v>
      </c>
      <c r="Y22">
        <f>RawSalesTable5[[#This Row],[Ship_Date]]-RawSalesTable5[[#This Row],[Order_Date]]</f>
        <v>6</v>
      </c>
      <c r="Z22" s="28">
        <f>DATE(YEAR(RawSalesTable5[[#This Row],[Order_Date]]),MONTH(RawSalesTable5[[#This Row],[Order_Date]]),1)</f>
        <v>45689</v>
      </c>
      <c r="AA22" t="str" cm="1">
        <f t="array" ref="AA22">IF(RawSalesTable5[[#This Row],[Lookup_Status]]="Missing Product","",_xlfn.IFS(RawSalesTable5[[#This Row],[Net_Revenue]]&gt;=20000,"High",RawSalesTable5[[#This Row],[Net_Revenue]]&gt;=10000,"Medium",TRUE,"Low"))</f>
        <v>Low</v>
      </c>
    </row>
    <row r="23" spans="1:27">
      <c r="A23" t="s">
        <v>148</v>
      </c>
      <c r="B23" s="15">
        <v>45783</v>
      </c>
      <c r="C23" s="15">
        <v>45784</v>
      </c>
      <c r="D23" t="s">
        <v>114</v>
      </c>
      <c r="E23" t="s">
        <v>101</v>
      </c>
      <c r="F23" t="s">
        <v>149</v>
      </c>
      <c r="G23" t="s">
        <v>86</v>
      </c>
      <c r="H23" t="s">
        <v>86</v>
      </c>
      <c r="I23" s="17">
        <v>5</v>
      </c>
      <c r="J23" s="16">
        <v>0.1</v>
      </c>
      <c r="K23" t="s">
        <v>112</v>
      </c>
      <c r="L23" t="s">
        <v>89</v>
      </c>
      <c r="M23" s="17">
        <v>3</v>
      </c>
      <c r="N23" t="str" cm="1">
        <f t="array" ref="N23">_xlfn.XLOOKUP(RawSalesTable5[[#This Row],[Product_Code]],ProductLookupTable[[#All],[Product_Code]],ProductLookupTable[[#All],[Product_Name]],"NOT FOUND")</f>
        <v>Portable HDD 2TB</v>
      </c>
      <c r="O23" t="str" cm="1">
        <f t="array" ref="O23">_xlfn.XLOOKUP(RawSalesTable5[[#This Row],[Product_Code]],ProductLookupTable[[#All],[Product_Code]],ProductLookupTable[[#All],[Category]],"NOT FOUND")</f>
        <v>Storage</v>
      </c>
      <c r="P23" cm="1">
        <f t="array" ref="P23">_xlfn.XLOOKUP(RawSalesTable5[[#This Row],[Product_Code]],ProductLookupTable[[#All],[Product_Code]],ProductLookupTable[[#All],[Unit_Price]],"NOT FOUND")</f>
        <v>5899</v>
      </c>
      <c r="Q23" t="str">
        <f>IF(COUNTIF(ProductLookupTable[Product_Code],RawSalesTable5[[#This Row],[Product_Code]])=0,"Missing Product","OK")</f>
        <v>OK</v>
      </c>
      <c r="R23" cm="1">
        <f t="array" ref="R23">_xlfn.XLOOKUP(RawSalesTable5[[#This Row],[Product_Code]],ProductLookupTable[[#All],[Product_Code]],ProductLookupTable[[#All],[Unit_Cost]],"NOT FOUND")</f>
        <v>4100</v>
      </c>
      <c r="S23">
        <f>IFERROR(RawSalesTable5[[#This Row],[Quantity]]*RawSalesTable5[[#This Row],[Unit_Price]],"NOT FOUND")</f>
        <v>29495</v>
      </c>
      <c r="T23">
        <f>IFERROR(RawSalesTable5[[#This Row],[Gross_Revenue]]*RawSalesTable5[[#This Row],[Discount_Pct]],"NOT FOUND")</f>
        <v>2949.5</v>
      </c>
      <c r="U23">
        <f>IFERROR(RawSalesTable5[[#This Row],[Gross_Revenue]]-RawSalesTable5[[#This Row],[Discount_Value]],"NOT FOUND")</f>
        <v>26545.5</v>
      </c>
      <c r="V23">
        <f>IFERROR(RawSalesTable5[[#This Row],[Quantity]]*RawSalesTable5[[#This Row],[Unit_Cost]],"NOT FOUND")</f>
        <v>20500</v>
      </c>
      <c r="W23">
        <f>IFERROR(RawSalesTable5[[#This Row],[Net_Revenue]]-RawSalesTable5[[#This Row],[Cost]],"NOT FOUND")</f>
        <v>6045.5</v>
      </c>
      <c r="X23" s="27">
        <f>IF(RawSalesTable5[[#This Row],[Lookup_Status]]="Missing Product","",IFERROR(RawSalesTable5[[#This Row],[Profit]]/RawSalesTable5[[#This Row],[Net_Revenue]],0))</f>
        <v>0.22774104838861578</v>
      </c>
      <c r="Y23">
        <f>RawSalesTable5[[#This Row],[Ship_Date]]-RawSalesTable5[[#This Row],[Order_Date]]</f>
        <v>1</v>
      </c>
      <c r="Z23" s="28">
        <f>DATE(YEAR(RawSalesTable5[[#This Row],[Order_Date]]),MONTH(RawSalesTable5[[#This Row],[Order_Date]]),1)</f>
        <v>45778</v>
      </c>
      <c r="AA23" t="str" cm="1">
        <f t="array" ref="AA23">IF(RawSalesTable5[[#This Row],[Lookup_Status]]="Missing Product","",_xlfn.IFS(RawSalesTable5[[#This Row],[Net_Revenue]]&gt;=20000,"High",RawSalesTable5[[#This Row],[Net_Revenue]]&gt;=10000,"Medium",TRUE,"Low"))</f>
        <v>High</v>
      </c>
    </row>
    <row r="24" spans="1:27">
      <c r="A24" t="s">
        <v>150</v>
      </c>
      <c r="B24" s="15">
        <v>45851</v>
      </c>
      <c r="C24" s="15">
        <v>45855</v>
      </c>
      <c r="D24" t="s">
        <v>157</v>
      </c>
      <c r="E24" t="s">
        <v>106</v>
      </c>
      <c r="F24" t="s">
        <v>118</v>
      </c>
      <c r="G24" t="s">
        <v>86</v>
      </c>
      <c r="H24" t="s">
        <v>87</v>
      </c>
      <c r="I24" s="17">
        <v>2</v>
      </c>
      <c r="J24" s="16">
        <v>0</v>
      </c>
      <c r="K24" t="s">
        <v>119</v>
      </c>
      <c r="L24" t="s">
        <v>89</v>
      </c>
      <c r="M24" s="17">
        <v>5</v>
      </c>
      <c r="N24" t="str" cm="1">
        <f t="array" ref="N24">_xlfn.XLOOKUP(RawSalesTable5[[#This Row],[Product_Code]],ProductLookupTable[[#All],[Product_Code]],ProductLookupTable[[#All],[Product_Name]],"NOT FOUND")</f>
        <v>Mechanical Keyboard</v>
      </c>
      <c r="O24" t="str" cm="1">
        <f t="array" ref="O24">_xlfn.XLOOKUP(RawSalesTable5[[#This Row],[Product_Code]],ProductLookupTable[[#All],[Product_Code]],ProductLookupTable[[#All],[Category]],"NOT FOUND")</f>
        <v>Accessories</v>
      </c>
      <c r="P24" cm="1">
        <f t="array" ref="P24">_xlfn.XLOOKUP(RawSalesTable5[[#This Row],[Product_Code]],ProductLookupTable[[#All],[Product_Code]],ProductLookupTable[[#All],[Unit_Price]],"NOT FOUND")</f>
        <v>2499</v>
      </c>
      <c r="Q24" t="str">
        <f>IF(COUNTIF(ProductLookupTable[Product_Code],RawSalesTable5[[#This Row],[Product_Code]])=0,"Missing Product","OK")</f>
        <v>OK</v>
      </c>
      <c r="R24" cm="1">
        <f t="array" ref="R24">_xlfn.XLOOKUP(RawSalesTable5[[#This Row],[Product_Code]],ProductLookupTable[[#All],[Product_Code]],ProductLookupTable[[#All],[Unit_Cost]],"NOT FOUND")</f>
        <v>1450</v>
      </c>
      <c r="S24">
        <f>IFERROR(RawSalesTable5[[#This Row],[Quantity]]*RawSalesTable5[[#This Row],[Unit_Price]],"NOT FOUND")</f>
        <v>4998</v>
      </c>
      <c r="T24">
        <f>IFERROR(RawSalesTable5[[#This Row],[Gross_Revenue]]*RawSalesTable5[[#This Row],[Discount_Pct]],"NOT FOUND")</f>
        <v>0</v>
      </c>
      <c r="U24">
        <f>IFERROR(RawSalesTable5[[#This Row],[Gross_Revenue]]-RawSalesTable5[[#This Row],[Discount_Value]],"NOT FOUND")</f>
        <v>4998</v>
      </c>
      <c r="V24">
        <f>IFERROR(RawSalesTable5[[#This Row],[Quantity]]*RawSalesTable5[[#This Row],[Unit_Cost]],"NOT FOUND")</f>
        <v>2900</v>
      </c>
      <c r="W24">
        <f>IFERROR(RawSalesTable5[[#This Row],[Net_Revenue]]-RawSalesTable5[[#This Row],[Cost]],"NOT FOUND")</f>
        <v>2098</v>
      </c>
      <c r="X24" s="27">
        <f>IF(RawSalesTable5[[#This Row],[Lookup_Status]]="Missing Product","",IFERROR(RawSalesTable5[[#This Row],[Profit]]/RawSalesTable5[[#This Row],[Net_Revenue]],0))</f>
        <v>0.41976790716286516</v>
      </c>
      <c r="Y24">
        <f>RawSalesTable5[[#This Row],[Ship_Date]]-RawSalesTable5[[#This Row],[Order_Date]]</f>
        <v>4</v>
      </c>
      <c r="Z24" s="28">
        <f>DATE(YEAR(RawSalesTable5[[#This Row],[Order_Date]]),MONTH(RawSalesTable5[[#This Row],[Order_Date]]),1)</f>
        <v>45839</v>
      </c>
      <c r="AA24" t="str" cm="1">
        <f t="array" ref="AA24">IF(RawSalesTable5[[#This Row],[Lookup_Status]]="Missing Product","",_xlfn.IFS(RawSalesTable5[[#This Row],[Net_Revenue]]&gt;=20000,"High",RawSalesTable5[[#This Row],[Net_Revenue]]&gt;=10000,"Medium",TRUE,"Low"))</f>
        <v>Low</v>
      </c>
    </row>
    <row r="25" spans="1:27">
      <c r="A25" t="s">
        <v>151</v>
      </c>
      <c r="B25" s="15">
        <v>45828</v>
      </c>
      <c r="C25" s="15">
        <v>45831</v>
      </c>
      <c r="D25" t="s">
        <v>212</v>
      </c>
      <c r="E25" t="s">
        <v>111</v>
      </c>
      <c r="F25" t="s">
        <v>115</v>
      </c>
      <c r="G25" t="s">
        <v>86</v>
      </c>
      <c r="H25" t="s">
        <v>86</v>
      </c>
      <c r="I25" s="17">
        <v>1</v>
      </c>
      <c r="J25" s="16">
        <v>0</v>
      </c>
      <c r="K25" t="s">
        <v>95</v>
      </c>
      <c r="L25" t="s">
        <v>89</v>
      </c>
      <c r="M25" s="17">
        <v>5</v>
      </c>
      <c r="N25" t="str" cm="1">
        <f t="array" ref="N25">_xlfn.XLOOKUP(RawSalesTable5[[#This Row],[Product_Code]],ProductLookupTable[[#All],[Product_Code]],ProductLookupTable[[#All],[Product_Name]],"NOT FOUND")</f>
        <v>USB-C Hub</v>
      </c>
      <c r="O25" t="str" cm="1">
        <f t="array" ref="O25">_xlfn.XLOOKUP(RawSalesTable5[[#This Row],[Product_Code]],ProductLookupTable[[#All],[Product_Code]],ProductLookupTable[[#All],[Category]],"NOT FOUND")</f>
        <v>Accessories</v>
      </c>
      <c r="P25" cm="1">
        <f t="array" ref="P25">_xlfn.XLOOKUP(RawSalesTable5[[#This Row],[Product_Code]],ProductLookupTable[[#All],[Product_Code]],ProductLookupTable[[#All],[Unit_Price]],"NOT FOUND")</f>
        <v>1599</v>
      </c>
      <c r="Q25" t="str">
        <f>IF(COUNTIF(ProductLookupTable[Product_Code],RawSalesTable5[[#This Row],[Product_Code]])=0,"Missing Product","OK")</f>
        <v>OK</v>
      </c>
      <c r="R25" cm="1">
        <f t="array" ref="R25">_xlfn.XLOOKUP(RawSalesTable5[[#This Row],[Product_Code]],ProductLookupTable[[#All],[Product_Code]],ProductLookupTable[[#All],[Unit_Cost]],"NOT FOUND")</f>
        <v>870</v>
      </c>
      <c r="S25">
        <f>IFERROR(RawSalesTable5[[#This Row],[Quantity]]*RawSalesTable5[[#This Row],[Unit_Price]],"NOT FOUND")</f>
        <v>1599</v>
      </c>
      <c r="T25">
        <f>IFERROR(RawSalesTable5[[#This Row],[Gross_Revenue]]*RawSalesTable5[[#This Row],[Discount_Pct]],"NOT FOUND")</f>
        <v>0</v>
      </c>
      <c r="U25">
        <f>IFERROR(RawSalesTable5[[#This Row],[Gross_Revenue]]-RawSalesTable5[[#This Row],[Discount_Value]],"NOT FOUND")</f>
        <v>1599</v>
      </c>
      <c r="V25">
        <f>IFERROR(RawSalesTable5[[#This Row],[Quantity]]*RawSalesTable5[[#This Row],[Unit_Cost]],"NOT FOUND")</f>
        <v>870</v>
      </c>
      <c r="W25">
        <f>IFERROR(RawSalesTable5[[#This Row],[Net_Revenue]]-RawSalesTable5[[#This Row],[Cost]],"NOT FOUND")</f>
        <v>729</v>
      </c>
      <c r="X25" s="27">
        <f>IF(RawSalesTable5[[#This Row],[Lookup_Status]]="Missing Product","",IFERROR(RawSalesTable5[[#This Row],[Profit]]/RawSalesTable5[[#This Row],[Net_Revenue]],0))</f>
        <v>0.45590994371482174</v>
      </c>
      <c r="Y25">
        <f>RawSalesTable5[[#This Row],[Ship_Date]]-RawSalesTable5[[#This Row],[Order_Date]]</f>
        <v>3</v>
      </c>
      <c r="Z25" s="28">
        <f>DATE(YEAR(RawSalesTable5[[#This Row],[Order_Date]]),MONTH(RawSalesTable5[[#This Row],[Order_Date]]),1)</f>
        <v>45809</v>
      </c>
      <c r="AA25" t="str" cm="1">
        <f t="array" ref="AA25">IF(RawSalesTable5[[#This Row],[Lookup_Status]]="Missing Product","",_xlfn.IFS(RawSalesTable5[[#This Row],[Net_Revenue]]&gt;=20000,"High",RawSalesTable5[[#This Row],[Net_Revenue]]&gt;=10000,"Medium",TRUE,"Low"))</f>
        <v>Low</v>
      </c>
    </row>
    <row r="26" spans="1:27">
      <c r="A26" t="s">
        <v>152</v>
      </c>
      <c r="B26" s="15">
        <v>45702</v>
      </c>
      <c r="C26" s="15">
        <v>45710</v>
      </c>
      <c r="D26" t="s">
        <v>123</v>
      </c>
      <c r="E26" t="s">
        <v>84</v>
      </c>
      <c r="F26" t="s">
        <v>147</v>
      </c>
      <c r="G26" t="s">
        <v>94</v>
      </c>
      <c r="H26" t="s">
        <v>86</v>
      </c>
      <c r="I26" s="17">
        <v>1</v>
      </c>
      <c r="J26" s="16">
        <v>0.15</v>
      </c>
      <c r="K26" t="s">
        <v>88</v>
      </c>
      <c r="L26" t="s">
        <v>89</v>
      </c>
      <c r="M26" s="17">
        <v>4</v>
      </c>
      <c r="N26" t="str" cm="1">
        <f t="array" ref="N26">_xlfn.XLOOKUP(RawSalesTable5[[#This Row],[Product_Code]],ProductLookupTable[[#All],[Product_Code]],ProductLookupTable[[#All],[Product_Name]],"NOT FOUND")</f>
        <v>LED Desk Lamp</v>
      </c>
      <c r="O26" t="str" cm="1">
        <f t="array" ref="O26">_xlfn.XLOOKUP(RawSalesTable5[[#This Row],[Product_Code]],ProductLookupTable[[#All],[Product_Code]],ProductLookupTable[[#All],[Category]],"NOT FOUND")</f>
        <v>Furniture</v>
      </c>
      <c r="P26" cm="1">
        <f t="array" ref="P26">_xlfn.XLOOKUP(RawSalesTable5[[#This Row],[Product_Code]],ProductLookupTable[[#All],[Product_Code]],ProductLookupTable[[#All],[Unit_Price]],"NOT FOUND")</f>
        <v>1999</v>
      </c>
      <c r="Q26" t="str">
        <f>IF(COUNTIF(ProductLookupTable[Product_Code],RawSalesTable5[[#This Row],[Product_Code]])=0,"Missing Product","OK")</f>
        <v>OK</v>
      </c>
      <c r="R26" cm="1">
        <f t="array" ref="R26">_xlfn.XLOOKUP(RawSalesTable5[[#This Row],[Product_Code]],ProductLookupTable[[#All],[Product_Code]],ProductLookupTable[[#All],[Unit_Cost]],"NOT FOUND")</f>
        <v>1050</v>
      </c>
      <c r="S26">
        <f>IFERROR(RawSalesTable5[[#This Row],[Quantity]]*RawSalesTable5[[#This Row],[Unit_Price]],"NOT FOUND")</f>
        <v>1999</v>
      </c>
      <c r="T26">
        <f>IFERROR(RawSalesTable5[[#This Row],[Gross_Revenue]]*RawSalesTable5[[#This Row],[Discount_Pct]],"NOT FOUND")</f>
        <v>299.84999999999997</v>
      </c>
      <c r="U26">
        <f>IFERROR(RawSalesTable5[[#This Row],[Gross_Revenue]]-RawSalesTable5[[#This Row],[Discount_Value]],"NOT FOUND")</f>
        <v>1699.15</v>
      </c>
      <c r="V26">
        <f>IFERROR(RawSalesTable5[[#This Row],[Quantity]]*RawSalesTable5[[#This Row],[Unit_Cost]],"NOT FOUND")</f>
        <v>1050</v>
      </c>
      <c r="W26">
        <f>IFERROR(RawSalesTable5[[#This Row],[Net_Revenue]]-RawSalesTable5[[#This Row],[Cost]],"NOT FOUND")</f>
        <v>649.15000000000009</v>
      </c>
      <c r="X26" s="27">
        <f>IF(RawSalesTable5[[#This Row],[Lookup_Status]]="Missing Product","",IFERROR(RawSalesTable5[[#This Row],[Profit]]/RawSalesTable5[[#This Row],[Net_Revenue]],0))</f>
        <v>0.38204396315804967</v>
      </c>
      <c r="Y26">
        <f>RawSalesTable5[[#This Row],[Ship_Date]]-RawSalesTable5[[#This Row],[Order_Date]]</f>
        <v>8</v>
      </c>
      <c r="Z26" s="28">
        <f>DATE(YEAR(RawSalesTable5[[#This Row],[Order_Date]]),MONTH(RawSalesTable5[[#This Row],[Order_Date]]),1)</f>
        <v>45689</v>
      </c>
      <c r="AA26" t="str" cm="1">
        <f t="array" ref="AA26">IF(RawSalesTable5[[#This Row],[Lookup_Status]]="Missing Product","",_xlfn.IFS(RawSalesTable5[[#This Row],[Net_Revenue]]&gt;=20000,"High",RawSalesTable5[[#This Row],[Net_Revenue]]&gt;=10000,"Medium",TRUE,"Low"))</f>
        <v>Low</v>
      </c>
    </row>
    <row r="27" spans="1:27">
      <c r="A27" t="s">
        <v>153</v>
      </c>
      <c r="B27" s="15">
        <v>45802</v>
      </c>
      <c r="C27" s="15">
        <v>45808</v>
      </c>
      <c r="D27" t="s">
        <v>83</v>
      </c>
      <c r="E27" t="s">
        <v>92</v>
      </c>
      <c r="F27" t="s">
        <v>154</v>
      </c>
      <c r="G27" t="s">
        <v>86</v>
      </c>
      <c r="H27" t="s">
        <v>87</v>
      </c>
      <c r="I27" s="17">
        <v>4</v>
      </c>
      <c r="J27" s="16">
        <v>0.2</v>
      </c>
      <c r="K27" t="s">
        <v>119</v>
      </c>
      <c r="L27" t="s">
        <v>89</v>
      </c>
      <c r="M27" s="17">
        <v>5</v>
      </c>
      <c r="N27" t="str" cm="1">
        <f t="array" ref="N27">_xlfn.XLOOKUP(RawSalesTable5[[#This Row],[Product_Code]],ProductLookupTable[[#All],[Product_Code]],ProductLookupTable[[#All],[Product_Name]],"NOT FOUND")</f>
        <v>Laptop Stand</v>
      </c>
      <c r="O27" t="str" cm="1">
        <f t="array" ref="O27">_xlfn.XLOOKUP(RawSalesTable5[[#This Row],[Product_Code]],ProductLookupTable[[#All],[Product_Code]],ProductLookupTable[[#All],[Category]],"NOT FOUND")</f>
        <v>Accessories</v>
      </c>
      <c r="P27" cm="1">
        <f t="array" ref="P27">_xlfn.XLOOKUP(RawSalesTable5[[#This Row],[Product_Code]],ProductLookupTable[[#All],[Product_Code]],ProductLookupTable[[#All],[Unit_Price]],"NOT FOUND")</f>
        <v>1899</v>
      </c>
      <c r="Q27" t="str">
        <f>IF(COUNTIF(ProductLookupTable[Product_Code],RawSalesTable5[[#This Row],[Product_Code]])=0,"Missing Product","OK")</f>
        <v>OK</v>
      </c>
      <c r="R27" cm="1">
        <f t="array" ref="R27">_xlfn.XLOOKUP(RawSalesTable5[[#This Row],[Product_Code]],ProductLookupTable[[#All],[Product_Code]],ProductLookupTable[[#All],[Unit_Cost]],"NOT FOUND")</f>
        <v>980</v>
      </c>
      <c r="S27">
        <f>IFERROR(RawSalesTable5[[#This Row],[Quantity]]*RawSalesTable5[[#This Row],[Unit_Price]],"NOT FOUND")</f>
        <v>7596</v>
      </c>
      <c r="T27">
        <f>IFERROR(RawSalesTable5[[#This Row],[Gross_Revenue]]*RawSalesTable5[[#This Row],[Discount_Pct]],"NOT FOUND")</f>
        <v>1519.2</v>
      </c>
      <c r="U27">
        <f>IFERROR(RawSalesTable5[[#This Row],[Gross_Revenue]]-RawSalesTable5[[#This Row],[Discount_Value]],"NOT FOUND")</f>
        <v>6076.8</v>
      </c>
      <c r="V27">
        <f>IFERROR(RawSalesTable5[[#This Row],[Quantity]]*RawSalesTable5[[#This Row],[Unit_Cost]],"NOT FOUND")</f>
        <v>3920</v>
      </c>
      <c r="W27">
        <f>IFERROR(RawSalesTable5[[#This Row],[Net_Revenue]]-RawSalesTable5[[#This Row],[Cost]],"NOT FOUND")</f>
        <v>2156.8000000000002</v>
      </c>
      <c r="X27" s="27">
        <f>IF(RawSalesTable5[[#This Row],[Lookup_Status]]="Missing Product","",IFERROR(RawSalesTable5[[#This Row],[Profit]]/RawSalesTable5[[#This Row],[Net_Revenue]],0))</f>
        <v>0.35492364402317012</v>
      </c>
      <c r="Y27">
        <f>RawSalesTable5[[#This Row],[Ship_Date]]-RawSalesTable5[[#This Row],[Order_Date]]</f>
        <v>6</v>
      </c>
      <c r="Z27" s="28">
        <f>DATE(YEAR(RawSalesTable5[[#This Row],[Order_Date]]),MONTH(RawSalesTable5[[#This Row],[Order_Date]]),1)</f>
        <v>45778</v>
      </c>
      <c r="AA27" t="str" cm="1">
        <f t="array" ref="AA27">IF(RawSalesTable5[[#This Row],[Lookup_Status]]="Missing Product","",_xlfn.IFS(RawSalesTable5[[#This Row],[Net_Revenue]]&gt;=20000,"High",RawSalesTable5[[#This Row],[Net_Revenue]]&gt;=10000,"Medium",TRUE,"Low"))</f>
        <v>Low</v>
      </c>
    </row>
    <row r="28" spans="1:27">
      <c r="A28" t="s">
        <v>155</v>
      </c>
      <c r="B28" s="15">
        <v>46010</v>
      </c>
      <c r="C28" s="15">
        <v>46012</v>
      </c>
      <c r="D28" t="s">
        <v>114</v>
      </c>
      <c r="E28" t="s">
        <v>98</v>
      </c>
      <c r="F28" t="s">
        <v>118</v>
      </c>
      <c r="G28" t="s">
        <v>86</v>
      </c>
      <c r="H28" t="s">
        <v>87</v>
      </c>
      <c r="I28" s="17">
        <v>4</v>
      </c>
      <c r="J28" s="16">
        <v>0.15</v>
      </c>
      <c r="K28" t="s">
        <v>140</v>
      </c>
      <c r="L28" t="s">
        <v>89</v>
      </c>
      <c r="M28" s="17">
        <v>3</v>
      </c>
      <c r="N28" t="str" cm="1">
        <f t="array" ref="N28">_xlfn.XLOOKUP(RawSalesTable5[[#This Row],[Product_Code]],ProductLookupTable[[#All],[Product_Code]],ProductLookupTable[[#All],[Product_Name]],"NOT FOUND")</f>
        <v>Mechanical Keyboard</v>
      </c>
      <c r="O28" t="str" cm="1">
        <f t="array" ref="O28">_xlfn.XLOOKUP(RawSalesTable5[[#This Row],[Product_Code]],ProductLookupTable[[#All],[Product_Code]],ProductLookupTable[[#All],[Category]],"NOT FOUND")</f>
        <v>Accessories</v>
      </c>
      <c r="P28" cm="1">
        <f t="array" ref="P28">_xlfn.XLOOKUP(RawSalesTable5[[#This Row],[Product_Code]],ProductLookupTable[[#All],[Product_Code]],ProductLookupTable[[#All],[Unit_Price]],"NOT FOUND")</f>
        <v>2499</v>
      </c>
      <c r="Q28" t="str">
        <f>IF(COUNTIF(ProductLookupTable[Product_Code],RawSalesTable5[[#This Row],[Product_Code]])=0,"Missing Product","OK")</f>
        <v>OK</v>
      </c>
      <c r="R28" cm="1">
        <f t="array" ref="R28">_xlfn.XLOOKUP(RawSalesTable5[[#This Row],[Product_Code]],ProductLookupTable[[#All],[Product_Code]],ProductLookupTable[[#All],[Unit_Cost]],"NOT FOUND")</f>
        <v>1450</v>
      </c>
      <c r="S28">
        <f>IFERROR(RawSalesTable5[[#This Row],[Quantity]]*RawSalesTable5[[#This Row],[Unit_Price]],"NOT FOUND")</f>
        <v>9996</v>
      </c>
      <c r="T28">
        <f>IFERROR(RawSalesTable5[[#This Row],[Gross_Revenue]]*RawSalesTable5[[#This Row],[Discount_Pct]],"NOT FOUND")</f>
        <v>1499.3999999999999</v>
      </c>
      <c r="U28">
        <f>IFERROR(RawSalesTable5[[#This Row],[Gross_Revenue]]-RawSalesTable5[[#This Row],[Discount_Value]],"NOT FOUND")</f>
        <v>8496.6</v>
      </c>
      <c r="V28">
        <f>IFERROR(RawSalesTable5[[#This Row],[Quantity]]*RawSalesTable5[[#This Row],[Unit_Cost]],"NOT FOUND")</f>
        <v>5800</v>
      </c>
      <c r="W28">
        <f>IFERROR(RawSalesTable5[[#This Row],[Net_Revenue]]-RawSalesTable5[[#This Row],[Cost]],"NOT FOUND")</f>
        <v>2696.6000000000004</v>
      </c>
      <c r="X28" s="27">
        <f>IF(RawSalesTable5[[#This Row],[Lookup_Status]]="Missing Product","",IFERROR(RawSalesTable5[[#This Row],[Profit]]/RawSalesTable5[[#This Row],[Net_Revenue]],0))</f>
        <v>0.31737400842690022</v>
      </c>
      <c r="Y28">
        <f>RawSalesTable5[[#This Row],[Ship_Date]]-RawSalesTable5[[#This Row],[Order_Date]]</f>
        <v>2</v>
      </c>
      <c r="Z28" s="28">
        <f>DATE(YEAR(RawSalesTable5[[#This Row],[Order_Date]]),MONTH(RawSalesTable5[[#This Row],[Order_Date]]),1)</f>
        <v>45992</v>
      </c>
      <c r="AA28" t="str" cm="1">
        <f t="array" ref="AA28">IF(RawSalesTable5[[#This Row],[Lookup_Status]]="Missing Product","",_xlfn.IFS(RawSalesTable5[[#This Row],[Net_Revenue]]&gt;=20000,"High",RawSalesTable5[[#This Row],[Net_Revenue]]&gt;=10000,"Medium",TRUE,"Low"))</f>
        <v>Low</v>
      </c>
    </row>
    <row r="29" spans="1:27">
      <c r="A29" t="s">
        <v>156</v>
      </c>
      <c r="B29" s="15">
        <v>45947</v>
      </c>
      <c r="C29" s="15">
        <v>45952</v>
      </c>
      <c r="D29" t="s">
        <v>157</v>
      </c>
      <c r="E29" t="s">
        <v>101</v>
      </c>
      <c r="F29" t="s">
        <v>149</v>
      </c>
      <c r="G29" t="s">
        <v>94</v>
      </c>
      <c r="H29" t="s">
        <v>103</v>
      </c>
      <c r="I29" s="17">
        <v>1</v>
      </c>
      <c r="J29" s="16">
        <v>0</v>
      </c>
      <c r="K29" t="s">
        <v>140</v>
      </c>
      <c r="L29" t="s">
        <v>89</v>
      </c>
      <c r="M29" s="17">
        <v>5</v>
      </c>
      <c r="N29" t="str" cm="1">
        <f t="array" ref="N29">_xlfn.XLOOKUP(RawSalesTable5[[#This Row],[Product_Code]],ProductLookupTable[[#All],[Product_Code]],ProductLookupTable[[#All],[Product_Name]],"NOT FOUND")</f>
        <v>Portable HDD 2TB</v>
      </c>
      <c r="O29" t="str" cm="1">
        <f t="array" ref="O29">_xlfn.XLOOKUP(RawSalesTable5[[#This Row],[Product_Code]],ProductLookupTable[[#All],[Product_Code]],ProductLookupTable[[#All],[Category]],"NOT FOUND")</f>
        <v>Storage</v>
      </c>
      <c r="P29" cm="1">
        <f t="array" ref="P29">_xlfn.XLOOKUP(RawSalesTable5[[#This Row],[Product_Code]],ProductLookupTable[[#All],[Product_Code]],ProductLookupTable[[#All],[Unit_Price]],"NOT FOUND")</f>
        <v>5899</v>
      </c>
      <c r="Q29" t="str">
        <f>IF(COUNTIF(ProductLookupTable[Product_Code],RawSalesTable5[[#This Row],[Product_Code]])=0,"Missing Product","OK")</f>
        <v>OK</v>
      </c>
      <c r="R29" cm="1">
        <f t="array" ref="R29">_xlfn.XLOOKUP(RawSalesTable5[[#This Row],[Product_Code]],ProductLookupTable[[#All],[Product_Code]],ProductLookupTable[[#All],[Unit_Cost]],"NOT FOUND")</f>
        <v>4100</v>
      </c>
      <c r="S29">
        <f>IFERROR(RawSalesTable5[[#This Row],[Quantity]]*RawSalesTable5[[#This Row],[Unit_Price]],"NOT FOUND")</f>
        <v>5899</v>
      </c>
      <c r="T29">
        <f>IFERROR(RawSalesTable5[[#This Row],[Gross_Revenue]]*RawSalesTable5[[#This Row],[Discount_Pct]],"NOT FOUND")</f>
        <v>0</v>
      </c>
      <c r="U29">
        <f>IFERROR(RawSalesTable5[[#This Row],[Gross_Revenue]]-RawSalesTable5[[#This Row],[Discount_Value]],"NOT FOUND")</f>
        <v>5899</v>
      </c>
      <c r="V29">
        <f>IFERROR(RawSalesTable5[[#This Row],[Quantity]]*RawSalesTable5[[#This Row],[Unit_Cost]],"NOT FOUND")</f>
        <v>4100</v>
      </c>
      <c r="W29">
        <f>IFERROR(RawSalesTable5[[#This Row],[Net_Revenue]]-RawSalesTable5[[#This Row],[Cost]],"NOT FOUND")</f>
        <v>1799</v>
      </c>
      <c r="X29" s="27">
        <f>IF(RawSalesTable5[[#This Row],[Lookup_Status]]="Missing Product","",IFERROR(RawSalesTable5[[#This Row],[Profit]]/RawSalesTable5[[#This Row],[Net_Revenue]],0))</f>
        <v>0.30496694354975418</v>
      </c>
      <c r="Y29">
        <f>RawSalesTable5[[#This Row],[Ship_Date]]-RawSalesTable5[[#This Row],[Order_Date]]</f>
        <v>5</v>
      </c>
      <c r="Z29" s="28">
        <f>DATE(YEAR(RawSalesTable5[[#This Row],[Order_Date]]),MONTH(RawSalesTable5[[#This Row],[Order_Date]]),1)</f>
        <v>45931</v>
      </c>
      <c r="AA29" t="str" cm="1">
        <f t="array" ref="AA29">IF(RawSalesTable5[[#This Row],[Lookup_Status]]="Missing Product","",_xlfn.IFS(RawSalesTable5[[#This Row],[Net_Revenue]]&gt;=20000,"High",RawSalesTable5[[#This Row],[Net_Revenue]]&gt;=10000,"Medium",TRUE,"Low"))</f>
        <v>Low</v>
      </c>
    </row>
    <row r="30" spans="1:27">
      <c r="A30" t="s">
        <v>158</v>
      </c>
      <c r="B30" s="15">
        <v>45845</v>
      </c>
      <c r="C30" s="15">
        <v>45849</v>
      </c>
      <c r="D30" t="s">
        <v>212</v>
      </c>
      <c r="E30" t="s">
        <v>106</v>
      </c>
      <c r="F30" t="s">
        <v>93</v>
      </c>
      <c r="G30" t="s">
        <v>125</v>
      </c>
      <c r="H30" t="s">
        <v>86</v>
      </c>
      <c r="I30" s="17">
        <v>2</v>
      </c>
      <c r="J30" s="16">
        <v>0.2</v>
      </c>
      <c r="K30" t="s">
        <v>119</v>
      </c>
      <c r="L30" t="s">
        <v>89</v>
      </c>
      <c r="M30" s="17">
        <v>4</v>
      </c>
      <c r="N30" t="str" cm="1">
        <f t="array" ref="N30">_xlfn.XLOOKUP(RawSalesTable5[[#This Row],[Product_Code]],ProductLookupTable[[#All],[Product_Code]],ProductLookupTable[[#All],[Product_Name]],"NOT FOUND")</f>
        <v>Wireless Headset</v>
      </c>
      <c r="O30" t="str" cm="1">
        <f t="array" ref="O30">_xlfn.XLOOKUP(RawSalesTable5[[#This Row],[Product_Code]],ProductLookupTable[[#All],[Product_Code]],ProductLookupTable[[#All],[Category]],"NOT FOUND")</f>
        <v>Audio</v>
      </c>
      <c r="P30" cm="1">
        <f t="array" ref="P30">_xlfn.XLOOKUP(RawSalesTable5[[#This Row],[Product_Code]],ProductLookupTable[[#All],[Product_Code]],ProductLookupTable[[#All],[Unit_Price]],"NOT FOUND")</f>
        <v>3499</v>
      </c>
      <c r="Q30" t="str">
        <f>IF(COUNTIF(ProductLookupTable[Product_Code],RawSalesTable5[[#This Row],[Product_Code]])=0,"Missing Product","OK")</f>
        <v>OK</v>
      </c>
      <c r="R30" cm="1">
        <f t="array" ref="R30">_xlfn.XLOOKUP(RawSalesTable5[[#This Row],[Product_Code]],ProductLookupTable[[#All],[Product_Code]],ProductLookupTable[[#All],[Unit_Cost]],"NOT FOUND")</f>
        <v>2100</v>
      </c>
      <c r="S30">
        <f>IFERROR(RawSalesTable5[[#This Row],[Quantity]]*RawSalesTable5[[#This Row],[Unit_Price]],"NOT FOUND")</f>
        <v>6998</v>
      </c>
      <c r="T30">
        <f>IFERROR(RawSalesTable5[[#This Row],[Gross_Revenue]]*RawSalesTable5[[#This Row],[Discount_Pct]],"NOT FOUND")</f>
        <v>1399.6000000000001</v>
      </c>
      <c r="U30">
        <f>IFERROR(RawSalesTable5[[#This Row],[Gross_Revenue]]-RawSalesTable5[[#This Row],[Discount_Value]],"NOT FOUND")</f>
        <v>5598.4</v>
      </c>
      <c r="V30">
        <f>IFERROR(RawSalesTable5[[#This Row],[Quantity]]*RawSalesTable5[[#This Row],[Unit_Cost]],"NOT FOUND")</f>
        <v>4200</v>
      </c>
      <c r="W30">
        <f>IFERROR(RawSalesTable5[[#This Row],[Net_Revenue]]-RawSalesTable5[[#This Row],[Cost]],"NOT FOUND")</f>
        <v>1398.3999999999996</v>
      </c>
      <c r="X30" s="27">
        <f>IF(RawSalesTable5[[#This Row],[Lookup_Status]]="Missing Product","",IFERROR(RawSalesTable5[[#This Row],[Profit]]/RawSalesTable5[[#This Row],[Net_Revenue]],0))</f>
        <v>0.24978565304372674</v>
      </c>
      <c r="Y30">
        <f>RawSalesTable5[[#This Row],[Ship_Date]]-RawSalesTable5[[#This Row],[Order_Date]]</f>
        <v>4</v>
      </c>
      <c r="Z30" s="28">
        <f>DATE(YEAR(RawSalesTable5[[#This Row],[Order_Date]]),MONTH(RawSalesTable5[[#This Row],[Order_Date]]),1)</f>
        <v>45839</v>
      </c>
      <c r="AA30" t="str" cm="1">
        <f t="array" ref="AA30">IF(RawSalesTable5[[#This Row],[Lookup_Status]]="Missing Product","",_xlfn.IFS(RawSalesTable5[[#This Row],[Net_Revenue]]&gt;=20000,"High",RawSalesTable5[[#This Row],[Net_Revenue]]&gt;=10000,"Medium",TRUE,"Low"))</f>
        <v>Low</v>
      </c>
    </row>
    <row r="31" spans="1:27">
      <c r="A31" t="s">
        <v>159</v>
      </c>
      <c r="B31" s="15">
        <v>45754</v>
      </c>
      <c r="C31" s="15">
        <v>45761</v>
      </c>
      <c r="D31" t="s">
        <v>123</v>
      </c>
      <c r="E31" t="s">
        <v>111</v>
      </c>
      <c r="F31" t="s">
        <v>149</v>
      </c>
      <c r="G31" t="s">
        <v>86</v>
      </c>
      <c r="H31" t="s">
        <v>103</v>
      </c>
      <c r="I31" s="17">
        <v>5</v>
      </c>
      <c r="J31" s="16">
        <v>0</v>
      </c>
      <c r="K31" t="s">
        <v>88</v>
      </c>
      <c r="L31" t="s">
        <v>89</v>
      </c>
      <c r="M31" s="17">
        <v>5</v>
      </c>
      <c r="N31" t="str" cm="1">
        <f t="array" ref="N31">_xlfn.XLOOKUP(RawSalesTable5[[#This Row],[Product_Code]],ProductLookupTable[[#All],[Product_Code]],ProductLookupTable[[#All],[Product_Name]],"NOT FOUND")</f>
        <v>Portable HDD 2TB</v>
      </c>
      <c r="O31" t="str" cm="1">
        <f t="array" ref="O31">_xlfn.XLOOKUP(RawSalesTable5[[#This Row],[Product_Code]],ProductLookupTable[[#All],[Product_Code]],ProductLookupTable[[#All],[Category]],"NOT FOUND")</f>
        <v>Storage</v>
      </c>
      <c r="P31" cm="1">
        <f t="array" ref="P31">_xlfn.XLOOKUP(RawSalesTable5[[#This Row],[Product_Code]],ProductLookupTable[[#All],[Product_Code]],ProductLookupTable[[#All],[Unit_Price]],"NOT FOUND")</f>
        <v>5899</v>
      </c>
      <c r="Q31" t="str">
        <f>IF(COUNTIF(ProductLookupTable[Product_Code],RawSalesTable5[[#This Row],[Product_Code]])=0,"Missing Product","OK")</f>
        <v>OK</v>
      </c>
      <c r="R31" cm="1">
        <f t="array" ref="R31">_xlfn.XLOOKUP(RawSalesTable5[[#This Row],[Product_Code]],ProductLookupTable[[#All],[Product_Code]],ProductLookupTable[[#All],[Unit_Cost]],"NOT FOUND")</f>
        <v>4100</v>
      </c>
      <c r="S31">
        <f>IFERROR(RawSalesTable5[[#This Row],[Quantity]]*RawSalesTable5[[#This Row],[Unit_Price]],"NOT FOUND")</f>
        <v>29495</v>
      </c>
      <c r="T31">
        <f>IFERROR(RawSalesTable5[[#This Row],[Gross_Revenue]]*RawSalesTable5[[#This Row],[Discount_Pct]],"NOT FOUND")</f>
        <v>0</v>
      </c>
      <c r="U31">
        <f>IFERROR(RawSalesTable5[[#This Row],[Gross_Revenue]]-RawSalesTable5[[#This Row],[Discount_Value]],"NOT FOUND")</f>
        <v>29495</v>
      </c>
      <c r="V31">
        <f>IFERROR(RawSalesTable5[[#This Row],[Quantity]]*RawSalesTable5[[#This Row],[Unit_Cost]],"NOT FOUND")</f>
        <v>20500</v>
      </c>
      <c r="W31">
        <f>IFERROR(RawSalesTable5[[#This Row],[Net_Revenue]]-RawSalesTable5[[#This Row],[Cost]],"NOT FOUND")</f>
        <v>8995</v>
      </c>
      <c r="X31" s="27">
        <f>IF(RawSalesTable5[[#This Row],[Lookup_Status]]="Missing Product","",IFERROR(RawSalesTable5[[#This Row],[Profit]]/RawSalesTable5[[#This Row],[Net_Revenue]],0))</f>
        <v>0.30496694354975418</v>
      </c>
      <c r="Y31">
        <f>RawSalesTable5[[#This Row],[Ship_Date]]-RawSalesTable5[[#This Row],[Order_Date]]</f>
        <v>7</v>
      </c>
      <c r="Z31" s="28">
        <f>DATE(YEAR(RawSalesTable5[[#This Row],[Order_Date]]),MONTH(RawSalesTable5[[#This Row],[Order_Date]]),1)</f>
        <v>45748</v>
      </c>
      <c r="AA31" t="str" cm="1">
        <f t="array" ref="AA31">IF(RawSalesTable5[[#This Row],[Lookup_Status]]="Missing Product","",_xlfn.IFS(RawSalesTable5[[#This Row],[Net_Revenue]]&gt;=20000,"High",RawSalesTable5[[#This Row],[Net_Revenue]]&gt;=10000,"Medium",TRUE,"Low"))</f>
        <v>High</v>
      </c>
    </row>
    <row r="32" spans="1:27">
      <c r="A32" t="s">
        <v>160</v>
      </c>
      <c r="B32" s="15">
        <v>45974</v>
      </c>
      <c r="C32" s="15">
        <v>45982</v>
      </c>
      <c r="D32" t="s">
        <v>83</v>
      </c>
      <c r="E32" t="s">
        <v>84</v>
      </c>
      <c r="F32" t="s">
        <v>118</v>
      </c>
      <c r="G32" t="s">
        <v>108</v>
      </c>
      <c r="H32" t="s">
        <v>103</v>
      </c>
      <c r="I32" s="17">
        <v>4</v>
      </c>
      <c r="J32" s="16">
        <v>0.2</v>
      </c>
      <c r="K32" t="s">
        <v>88</v>
      </c>
      <c r="L32" t="s">
        <v>89</v>
      </c>
      <c r="M32" s="17">
        <v>4</v>
      </c>
      <c r="N32" t="str" cm="1">
        <f t="array" ref="N32">_xlfn.XLOOKUP(RawSalesTable5[[#This Row],[Product_Code]],ProductLookupTable[[#All],[Product_Code]],ProductLookupTable[[#All],[Product_Name]],"NOT FOUND")</f>
        <v>Mechanical Keyboard</v>
      </c>
      <c r="O32" t="str" cm="1">
        <f t="array" ref="O32">_xlfn.XLOOKUP(RawSalesTable5[[#This Row],[Product_Code]],ProductLookupTable[[#All],[Product_Code]],ProductLookupTable[[#All],[Category]],"NOT FOUND")</f>
        <v>Accessories</v>
      </c>
      <c r="P32" cm="1">
        <f t="array" ref="P32">_xlfn.XLOOKUP(RawSalesTable5[[#This Row],[Product_Code]],ProductLookupTable[[#All],[Product_Code]],ProductLookupTable[[#All],[Unit_Price]],"NOT FOUND")</f>
        <v>2499</v>
      </c>
      <c r="Q32" t="str">
        <f>IF(COUNTIF(ProductLookupTable[Product_Code],RawSalesTable5[[#This Row],[Product_Code]])=0,"Missing Product","OK")</f>
        <v>OK</v>
      </c>
      <c r="R32" cm="1">
        <f t="array" ref="R32">_xlfn.XLOOKUP(RawSalesTable5[[#This Row],[Product_Code]],ProductLookupTable[[#All],[Product_Code]],ProductLookupTable[[#All],[Unit_Cost]],"NOT FOUND")</f>
        <v>1450</v>
      </c>
      <c r="S32">
        <f>IFERROR(RawSalesTable5[[#This Row],[Quantity]]*RawSalesTable5[[#This Row],[Unit_Price]],"NOT FOUND")</f>
        <v>9996</v>
      </c>
      <c r="T32">
        <f>IFERROR(RawSalesTable5[[#This Row],[Gross_Revenue]]*RawSalesTable5[[#This Row],[Discount_Pct]],"NOT FOUND")</f>
        <v>1999.2</v>
      </c>
      <c r="U32">
        <f>IFERROR(RawSalesTable5[[#This Row],[Gross_Revenue]]-RawSalesTable5[[#This Row],[Discount_Value]],"NOT FOUND")</f>
        <v>7996.8</v>
      </c>
      <c r="V32">
        <f>IFERROR(RawSalesTable5[[#This Row],[Quantity]]*RawSalesTable5[[#This Row],[Unit_Cost]],"NOT FOUND")</f>
        <v>5800</v>
      </c>
      <c r="W32">
        <f>IFERROR(RawSalesTable5[[#This Row],[Net_Revenue]]-RawSalesTable5[[#This Row],[Cost]],"NOT FOUND")</f>
        <v>2196.8000000000002</v>
      </c>
      <c r="X32" s="27">
        <f>IF(RawSalesTable5[[#This Row],[Lookup_Status]]="Missing Product","",IFERROR(RawSalesTable5[[#This Row],[Profit]]/RawSalesTable5[[#This Row],[Net_Revenue]],0))</f>
        <v>0.27470988395358142</v>
      </c>
      <c r="Y32">
        <f>RawSalesTable5[[#This Row],[Ship_Date]]-RawSalesTable5[[#This Row],[Order_Date]]</f>
        <v>8</v>
      </c>
      <c r="Z32" s="28">
        <f>DATE(YEAR(RawSalesTable5[[#This Row],[Order_Date]]),MONTH(RawSalesTable5[[#This Row],[Order_Date]]),1)</f>
        <v>45962</v>
      </c>
      <c r="AA32" t="str" cm="1">
        <f t="array" ref="AA32">IF(RawSalesTable5[[#This Row],[Lookup_Status]]="Missing Product","",_xlfn.IFS(RawSalesTable5[[#This Row],[Net_Revenue]]&gt;=20000,"High",RawSalesTable5[[#This Row],[Net_Revenue]]&gt;=10000,"Medium",TRUE,"Low"))</f>
        <v>Low</v>
      </c>
    </row>
    <row r="33" spans="1:27">
      <c r="A33" t="s">
        <v>161</v>
      </c>
      <c r="B33" s="15">
        <v>45899</v>
      </c>
      <c r="C33" s="15">
        <v>45905</v>
      </c>
      <c r="D33" t="s">
        <v>114</v>
      </c>
      <c r="E33" t="s">
        <v>92</v>
      </c>
      <c r="F33" t="s">
        <v>149</v>
      </c>
      <c r="G33" t="s">
        <v>108</v>
      </c>
      <c r="H33" t="s">
        <v>87</v>
      </c>
      <c r="I33" s="17">
        <v>5</v>
      </c>
      <c r="J33" s="16">
        <v>0</v>
      </c>
      <c r="K33" t="s">
        <v>88</v>
      </c>
      <c r="L33" t="s">
        <v>89</v>
      </c>
      <c r="M33" s="17">
        <v>5</v>
      </c>
      <c r="N33" t="str" cm="1">
        <f t="array" ref="N33">_xlfn.XLOOKUP(RawSalesTable5[[#This Row],[Product_Code]],ProductLookupTable[[#All],[Product_Code]],ProductLookupTable[[#All],[Product_Name]],"NOT FOUND")</f>
        <v>Portable HDD 2TB</v>
      </c>
      <c r="O33" t="str" cm="1">
        <f t="array" ref="O33">_xlfn.XLOOKUP(RawSalesTable5[[#This Row],[Product_Code]],ProductLookupTable[[#All],[Product_Code]],ProductLookupTable[[#All],[Category]],"NOT FOUND")</f>
        <v>Storage</v>
      </c>
      <c r="P33" cm="1">
        <f t="array" ref="P33">_xlfn.XLOOKUP(RawSalesTable5[[#This Row],[Product_Code]],ProductLookupTable[[#All],[Product_Code]],ProductLookupTable[[#All],[Unit_Price]],"NOT FOUND")</f>
        <v>5899</v>
      </c>
      <c r="Q33" t="str">
        <f>IF(COUNTIF(ProductLookupTable[Product_Code],RawSalesTable5[[#This Row],[Product_Code]])=0,"Missing Product","OK")</f>
        <v>OK</v>
      </c>
      <c r="R33" cm="1">
        <f t="array" ref="R33">_xlfn.XLOOKUP(RawSalesTable5[[#This Row],[Product_Code]],ProductLookupTable[[#All],[Product_Code]],ProductLookupTable[[#All],[Unit_Cost]],"NOT FOUND")</f>
        <v>4100</v>
      </c>
      <c r="S33">
        <f>IFERROR(RawSalesTable5[[#This Row],[Quantity]]*RawSalesTable5[[#This Row],[Unit_Price]],"NOT FOUND")</f>
        <v>29495</v>
      </c>
      <c r="T33">
        <f>IFERROR(RawSalesTable5[[#This Row],[Gross_Revenue]]*RawSalesTable5[[#This Row],[Discount_Pct]],"NOT FOUND")</f>
        <v>0</v>
      </c>
      <c r="U33">
        <f>IFERROR(RawSalesTable5[[#This Row],[Gross_Revenue]]-RawSalesTable5[[#This Row],[Discount_Value]],"NOT FOUND")</f>
        <v>29495</v>
      </c>
      <c r="V33">
        <f>IFERROR(RawSalesTable5[[#This Row],[Quantity]]*RawSalesTable5[[#This Row],[Unit_Cost]],"NOT FOUND")</f>
        <v>20500</v>
      </c>
      <c r="W33">
        <f>IFERROR(RawSalesTable5[[#This Row],[Net_Revenue]]-RawSalesTable5[[#This Row],[Cost]],"NOT FOUND")</f>
        <v>8995</v>
      </c>
      <c r="X33" s="27">
        <f>IF(RawSalesTable5[[#This Row],[Lookup_Status]]="Missing Product","",IFERROR(RawSalesTable5[[#This Row],[Profit]]/RawSalesTable5[[#This Row],[Net_Revenue]],0))</f>
        <v>0.30496694354975418</v>
      </c>
      <c r="Y33">
        <f>RawSalesTable5[[#This Row],[Ship_Date]]-RawSalesTable5[[#This Row],[Order_Date]]</f>
        <v>6</v>
      </c>
      <c r="Z33" s="28">
        <f>DATE(YEAR(RawSalesTable5[[#This Row],[Order_Date]]),MONTH(RawSalesTable5[[#This Row],[Order_Date]]),1)</f>
        <v>45870</v>
      </c>
      <c r="AA33" t="str" cm="1">
        <f t="array" ref="AA33">IF(RawSalesTable5[[#This Row],[Lookup_Status]]="Missing Product","",_xlfn.IFS(RawSalesTable5[[#This Row],[Net_Revenue]]&gt;=20000,"High",RawSalesTable5[[#This Row],[Net_Revenue]]&gt;=10000,"Medium",TRUE,"Low"))</f>
        <v>High</v>
      </c>
    </row>
    <row r="34" spans="1:27">
      <c r="A34" t="s">
        <v>162</v>
      </c>
      <c r="B34" s="15">
        <v>45750</v>
      </c>
      <c r="C34" s="15">
        <v>45755</v>
      </c>
      <c r="D34" t="s">
        <v>157</v>
      </c>
      <c r="E34" t="s">
        <v>98</v>
      </c>
      <c r="F34" t="s">
        <v>121</v>
      </c>
      <c r="G34" t="s">
        <v>108</v>
      </c>
      <c r="H34" t="s">
        <v>87</v>
      </c>
      <c r="I34" s="17">
        <v>4</v>
      </c>
      <c r="J34" s="16">
        <v>0.15</v>
      </c>
      <c r="K34" t="s">
        <v>88</v>
      </c>
      <c r="L34" t="s">
        <v>89</v>
      </c>
      <c r="M34" s="17">
        <v>4</v>
      </c>
      <c r="N34" t="str" cm="1">
        <f t="array" ref="N34">_xlfn.XLOOKUP(RawSalesTable5[[#This Row],[Product_Code]],ProductLookupTable[[#All],[Product_Code]],ProductLookupTable[[#All],[Product_Name]],"NOT FOUND")</f>
        <v>HD Webcam</v>
      </c>
      <c r="O34" t="str" cm="1">
        <f t="array" ref="O34">_xlfn.XLOOKUP(RawSalesTable5[[#This Row],[Product_Code]],ProductLookupTable[[#All],[Product_Code]],ProductLookupTable[[#All],[Category]],"NOT FOUND")</f>
        <v>Accessories</v>
      </c>
      <c r="P34" cm="1">
        <f t="array" ref="P34">_xlfn.XLOOKUP(RawSalesTable5[[#This Row],[Product_Code]],ProductLookupTable[[#All],[Product_Code]],ProductLookupTable[[#All],[Unit_Price]],"NOT FOUND")</f>
        <v>2899</v>
      </c>
      <c r="Q34" t="str">
        <f>IF(COUNTIF(ProductLookupTable[Product_Code],RawSalesTable5[[#This Row],[Product_Code]])=0,"Missing Product","OK")</f>
        <v>OK</v>
      </c>
      <c r="R34" cm="1">
        <f t="array" ref="R34">_xlfn.XLOOKUP(RawSalesTable5[[#This Row],[Product_Code]],ProductLookupTable[[#All],[Product_Code]],ProductLookupTable[[#All],[Unit_Cost]],"NOT FOUND")</f>
        <v>1700</v>
      </c>
      <c r="S34">
        <f>IFERROR(RawSalesTable5[[#This Row],[Quantity]]*RawSalesTable5[[#This Row],[Unit_Price]],"NOT FOUND")</f>
        <v>11596</v>
      </c>
      <c r="T34">
        <f>IFERROR(RawSalesTable5[[#This Row],[Gross_Revenue]]*RawSalesTable5[[#This Row],[Discount_Pct]],"NOT FOUND")</f>
        <v>1739.3999999999999</v>
      </c>
      <c r="U34">
        <f>IFERROR(RawSalesTable5[[#This Row],[Gross_Revenue]]-RawSalesTable5[[#This Row],[Discount_Value]],"NOT FOUND")</f>
        <v>9856.6</v>
      </c>
      <c r="V34">
        <f>IFERROR(RawSalesTable5[[#This Row],[Quantity]]*RawSalesTable5[[#This Row],[Unit_Cost]],"NOT FOUND")</f>
        <v>6800</v>
      </c>
      <c r="W34">
        <f>IFERROR(RawSalesTable5[[#This Row],[Net_Revenue]]-RawSalesTable5[[#This Row],[Cost]],"NOT FOUND")</f>
        <v>3056.6000000000004</v>
      </c>
      <c r="X34" s="27">
        <f>IF(RawSalesTable5[[#This Row],[Lookup_Status]]="Missing Product","",IFERROR(RawSalesTable5[[#This Row],[Profit]]/RawSalesTable5[[#This Row],[Net_Revenue]],0))</f>
        <v>0.31010693342531909</v>
      </c>
      <c r="Y34">
        <f>RawSalesTable5[[#This Row],[Ship_Date]]-RawSalesTable5[[#This Row],[Order_Date]]</f>
        <v>5</v>
      </c>
      <c r="Z34" s="28">
        <f>DATE(YEAR(RawSalesTable5[[#This Row],[Order_Date]]),MONTH(RawSalesTable5[[#This Row],[Order_Date]]),1)</f>
        <v>45748</v>
      </c>
      <c r="AA34" t="str" cm="1">
        <f t="array" ref="AA34">IF(RawSalesTable5[[#This Row],[Lookup_Status]]="Missing Product","",_xlfn.IFS(RawSalesTable5[[#This Row],[Net_Revenue]]&gt;=20000,"High",RawSalesTable5[[#This Row],[Net_Revenue]]&gt;=10000,"Medium",TRUE,"Low"))</f>
        <v>Low</v>
      </c>
    </row>
    <row r="35" spans="1:27">
      <c r="A35" t="s">
        <v>163</v>
      </c>
      <c r="B35" s="15">
        <v>45909</v>
      </c>
      <c r="C35" s="15">
        <v>45912</v>
      </c>
      <c r="D35" t="s">
        <v>212</v>
      </c>
      <c r="E35" t="s">
        <v>101</v>
      </c>
      <c r="F35" t="s">
        <v>115</v>
      </c>
      <c r="G35" t="s">
        <v>86</v>
      </c>
      <c r="H35" t="s">
        <v>86</v>
      </c>
      <c r="I35" s="17">
        <v>5</v>
      </c>
      <c r="J35" s="16">
        <v>0.05</v>
      </c>
      <c r="K35" t="s">
        <v>140</v>
      </c>
      <c r="L35" t="s">
        <v>89</v>
      </c>
      <c r="M35" s="17">
        <v>3</v>
      </c>
      <c r="N35" t="str" cm="1">
        <f t="array" ref="N35">_xlfn.XLOOKUP(RawSalesTable5[[#This Row],[Product_Code]],ProductLookupTable[[#All],[Product_Code]],ProductLookupTable[[#All],[Product_Name]],"NOT FOUND")</f>
        <v>USB-C Hub</v>
      </c>
      <c r="O35" t="str" cm="1">
        <f t="array" ref="O35">_xlfn.XLOOKUP(RawSalesTable5[[#This Row],[Product_Code]],ProductLookupTable[[#All],[Product_Code]],ProductLookupTable[[#All],[Category]],"NOT FOUND")</f>
        <v>Accessories</v>
      </c>
      <c r="P35" cm="1">
        <f t="array" ref="P35">_xlfn.XLOOKUP(RawSalesTable5[[#This Row],[Product_Code]],ProductLookupTable[[#All],[Product_Code]],ProductLookupTable[[#All],[Unit_Price]],"NOT FOUND")</f>
        <v>1599</v>
      </c>
      <c r="Q35" t="str">
        <f>IF(COUNTIF(ProductLookupTable[Product_Code],RawSalesTable5[[#This Row],[Product_Code]])=0,"Missing Product","OK")</f>
        <v>OK</v>
      </c>
      <c r="R35" cm="1">
        <f t="array" ref="R35">_xlfn.XLOOKUP(RawSalesTable5[[#This Row],[Product_Code]],ProductLookupTable[[#All],[Product_Code]],ProductLookupTable[[#All],[Unit_Cost]],"NOT FOUND")</f>
        <v>870</v>
      </c>
      <c r="S35">
        <f>IFERROR(RawSalesTable5[[#This Row],[Quantity]]*RawSalesTable5[[#This Row],[Unit_Price]],"NOT FOUND")</f>
        <v>7995</v>
      </c>
      <c r="T35">
        <f>IFERROR(RawSalesTable5[[#This Row],[Gross_Revenue]]*RawSalesTable5[[#This Row],[Discount_Pct]],"NOT FOUND")</f>
        <v>399.75</v>
      </c>
      <c r="U35">
        <f>IFERROR(RawSalesTable5[[#This Row],[Gross_Revenue]]-RawSalesTable5[[#This Row],[Discount_Value]],"NOT FOUND")</f>
        <v>7595.25</v>
      </c>
      <c r="V35">
        <f>IFERROR(RawSalesTable5[[#This Row],[Quantity]]*RawSalesTable5[[#This Row],[Unit_Cost]],"NOT FOUND")</f>
        <v>4350</v>
      </c>
      <c r="W35">
        <f>IFERROR(RawSalesTable5[[#This Row],[Net_Revenue]]-RawSalesTable5[[#This Row],[Cost]],"NOT FOUND")</f>
        <v>3245.25</v>
      </c>
      <c r="X35" s="27">
        <f>IF(RawSalesTable5[[#This Row],[Lookup_Status]]="Missing Product","",IFERROR(RawSalesTable5[[#This Row],[Profit]]/RawSalesTable5[[#This Row],[Net_Revenue]],0))</f>
        <v>0.42727362496297028</v>
      </c>
      <c r="Y35">
        <f>RawSalesTable5[[#This Row],[Ship_Date]]-RawSalesTable5[[#This Row],[Order_Date]]</f>
        <v>3</v>
      </c>
      <c r="Z35" s="28">
        <f>DATE(YEAR(RawSalesTable5[[#This Row],[Order_Date]]),MONTH(RawSalesTable5[[#This Row],[Order_Date]]),1)</f>
        <v>45901</v>
      </c>
      <c r="AA35" t="str" cm="1">
        <f t="array" ref="AA35">IF(RawSalesTable5[[#This Row],[Lookup_Status]]="Missing Product","",_xlfn.IFS(RawSalesTable5[[#This Row],[Net_Revenue]]&gt;=20000,"High",RawSalesTable5[[#This Row],[Net_Revenue]]&gt;=10000,"Medium",TRUE,"Low"))</f>
        <v>Low</v>
      </c>
    </row>
    <row r="36" spans="1:27">
      <c r="A36" t="s">
        <v>165</v>
      </c>
      <c r="B36" s="15">
        <v>45902</v>
      </c>
      <c r="C36" s="15">
        <v>45906</v>
      </c>
      <c r="D36" t="s">
        <v>123</v>
      </c>
      <c r="E36" t="s">
        <v>106</v>
      </c>
      <c r="F36" t="s">
        <v>85</v>
      </c>
      <c r="G36" t="s">
        <v>94</v>
      </c>
      <c r="H36" t="s">
        <v>86</v>
      </c>
      <c r="I36" s="17">
        <v>5</v>
      </c>
      <c r="J36" s="16">
        <v>0.1</v>
      </c>
      <c r="K36" t="s">
        <v>119</v>
      </c>
      <c r="L36" t="s">
        <v>89</v>
      </c>
      <c r="M36" s="17">
        <v>4</v>
      </c>
      <c r="N36" t="str" cm="1">
        <f t="array" ref="N36">_xlfn.XLOOKUP(RawSalesTable5[[#This Row],[Product_Code]],ProductLookupTable[[#All],[Product_Code]],ProductLookupTable[[#All],[Product_Name]],"NOT FOUND")</f>
        <v>Ergonomic Chair</v>
      </c>
      <c r="O36" t="str" cm="1">
        <f t="array" ref="O36">_xlfn.XLOOKUP(RawSalesTable5[[#This Row],[Product_Code]],ProductLookupTable[[#All],[Product_Code]],ProductLookupTable[[#All],[Category]],"NOT FOUND")</f>
        <v>Furniture</v>
      </c>
      <c r="P36" cm="1">
        <f t="array" ref="P36">_xlfn.XLOOKUP(RawSalesTable5[[#This Row],[Product_Code]],ProductLookupTable[[#All],[Product_Code]],ProductLookupTable[[#All],[Unit_Price]],"NOT FOUND")</f>
        <v>10499</v>
      </c>
      <c r="Q36" t="str">
        <f>IF(COUNTIF(ProductLookupTable[Product_Code],RawSalesTable5[[#This Row],[Product_Code]])=0,"Missing Product","OK")</f>
        <v>OK</v>
      </c>
      <c r="R36" cm="1">
        <f t="array" ref="R36">_xlfn.XLOOKUP(RawSalesTable5[[#This Row],[Product_Code]],ProductLookupTable[[#All],[Product_Code]],ProductLookupTable[[#All],[Unit_Cost]],"NOT FOUND")</f>
        <v>7600</v>
      </c>
      <c r="S36">
        <f>IFERROR(RawSalesTable5[[#This Row],[Quantity]]*RawSalesTable5[[#This Row],[Unit_Price]],"NOT FOUND")</f>
        <v>52495</v>
      </c>
      <c r="T36">
        <f>IFERROR(RawSalesTable5[[#This Row],[Gross_Revenue]]*RawSalesTable5[[#This Row],[Discount_Pct]],"NOT FOUND")</f>
        <v>5249.5</v>
      </c>
      <c r="U36">
        <f>IFERROR(RawSalesTable5[[#This Row],[Gross_Revenue]]-RawSalesTable5[[#This Row],[Discount_Value]],"NOT FOUND")</f>
        <v>47245.5</v>
      </c>
      <c r="V36">
        <f>IFERROR(RawSalesTable5[[#This Row],[Quantity]]*RawSalesTable5[[#This Row],[Unit_Cost]],"NOT FOUND")</f>
        <v>38000</v>
      </c>
      <c r="W36">
        <f>IFERROR(RawSalesTable5[[#This Row],[Net_Revenue]]-RawSalesTable5[[#This Row],[Cost]],"NOT FOUND")</f>
        <v>9245.5</v>
      </c>
      <c r="X36" s="27">
        <f>IF(RawSalesTable5[[#This Row],[Lookup_Status]]="Missing Product","",IFERROR(RawSalesTable5[[#This Row],[Profit]]/RawSalesTable5[[#This Row],[Net_Revenue]],0))</f>
        <v>0.19569059487146925</v>
      </c>
      <c r="Y36">
        <f>RawSalesTable5[[#This Row],[Ship_Date]]-RawSalesTable5[[#This Row],[Order_Date]]</f>
        <v>4</v>
      </c>
      <c r="Z36" s="28">
        <f>DATE(YEAR(RawSalesTable5[[#This Row],[Order_Date]]),MONTH(RawSalesTable5[[#This Row],[Order_Date]]),1)</f>
        <v>45901</v>
      </c>
      <c r="AA36" t="str" cm="1">
        <f t="array" ref="AA36">IF(RawSalesTable5[[#This Row],[Lookup_Status]]="Missing Product","",_xlfn.IFS(RawSalesTable5[[#This Row],[Net_Revenue]]&gt;=20000,"High",RawSalesTable5[[#This Row],[Net_Revenue]]&gt;=10000,"Medium",TRUE,"Low"))</f>
        <v>High</v>
      </c>
    </row>
    <row r="37" spans="1:27">
      <c r="A37" t="s">
        <v>167</v>
      </c>
      <c r="B37" s="15">
        <v>45784</v>
      </c>
      <c r="C37" s="15">
        <v>45787</v>
      </c>
      <c r="D37" t="s">
        <v>83</v>
      </c>
      <c r="E37" t="s">
        <v>111</v>
      </c>
      <c r="F37" t="s">
        <v>107</v>
      </c>
      <c r="G37" t="s">
        <v>108</v>
      </c>
      <c r="H37" t="s">
        <v>86</v>
      </c>
      <c r="I37" s="17">
        <v>1</v>
      </c>
      <c r="J37" s="16">
        <v>0.1</v>
      </c>
      <c r="K37" t="s">
        <v>119</v>
      </c>
      <c r="L37" t="s">
        <v>89</v>
      </c>
      <c r="M37" s="17">
        <v>3</v>
      </c>
      <c r="N37" t="str" cm="1">
        <f t="array" ref="N37">_xlfn.XLOOKUP(RawSalesTable5[[#This Row],[Product_Code]],ProductLookupTable[[#All],[Product_Code]],ProductLookupTable[[#All],[Product_Name]],"NOT FOUND")</f>
        <v>Bluetooth Speaker</v>
      </c>
      <c r="O37" t="str" cm="1">
        <f t="array" ref="O37">_xlfn.XLOOKUP(RawSalesTable5[[#This Row],[Product_Code]],ProductLookupTable[[#All],[Product_Code]],ProductLookupTable[[#All],[Category]],"NOT FOUND")</f>
        <v>Audio</v>
      </c>
      <c r="P37" cm="1">
        <f t="array" ref="P37">_xlfn.XLOOKUP(RawSalesTable5[[#This Row],[Product_Code]],ProductLookupTable[[#All],[Product_Code]],ProductLookupTable[[#All],[Unit_Price]],"NOT FOUND")</f>
        <v>2799</v>
      </c>
      <c r="Q37" t="str">
        <f>IF(COUNTIF(ProductLookupTable[Product_Code],RawSalesTable5[[#This Row],[Product_Code]])=0,"Missing Product","OK")</f>
        <v>OK</v>
      </c>
      <c r="R37" cm="1">
        <f t="array" ref="R37">_xlfn.XLOOKUP(RawSalesTable5[[#This Row],[Product_Code]],ProductLookupTable[[#All],[Product_Code]],ProductLookupTable[[#All],[Unit_Cost]],"NOT FOUND")</f>
        <v>1650</v>
      </c>
      <c r="S37">
        <f>IFERROR(RawSalesTable5[[#This Row],[Quantity]]*RawSalesTable5[[#This Row],[Unit_Price]],"NOT FOUND")</f>
        <v>2799</v>
      </c>
      <c r="T37">
        <f>IFERROR(RawSalesTable5[[#This Row],[Gross_Revenue]]*RawSalesTable5[[#This Row],[Discount_Pct]],"NOT FOUND")</f>
        <v>279.90000000000003</v>
      </c>
      <c r="U37">
        <f>IFERROR(RawSalesTable5[[#This Row],[Gross_Revenue]]-RawSalesTable5[[#This Row],[Discount_Value]],"NOT FOUND")</f>
        <v>2519.1</v>
      </c>
      <c r="V37">
        <f>IFERROR(RawSalesTable5[[#This Row],[Quantity]]*RawSalesTable5[[#This Row],[Unit_Cost]],"NOT FOUND")</f>
        <v>1650</v>
      </c>
      <c r="W37">
        <f>IFERROR(RawSalesTable5[[#This Row],[Net_Revenue]]-RawSalesTable5[[#This Row],[Cost]],"NOT FOUND")</f>
        <v>869.09999999999991</v>
      </c>
      <c r="X37" s="27">
        <f>IF(RawSalesTable5[[#This Row],[Lookup_Status]]="Missing Product","",IFERROR(RawSalesTable5[[#This Row],[Profit]]/RawSalesTable5[[#This Row],[Net_Revenue]],0))</f>
        <v>0.34500416815529356</v>
      </c>
      <c r="Y37">
        <f>RawSalesTable5[[#This Row],[Ship_Date]]-RawSalesTable5[[#This Row],[Order_Date]]</f>
        <v>3</v>
      </c>
      <c r="Z37" s="28">
        <f>DATE(YEAR(RawSalesTable5[[#This Row],[Order_Date]]),MONTH(RawSalesTable5[[#This Row],[Order_Date]]),1)</f>
        <v>45778</v>
      </c>
      <c r="AA37" t="str" cm="1">
        <f t="array" ref="AA37">IF(RawSalesTable5[[#This Row],[Lookup_Status]]="Missing Product","",_xlfn.IFS(RawSalesTable5[[#This Row],[Net_Revenue]]&gt;=20000,"High",RawSalesTable5[[#This Row],[Net_Revenue]]&gt;=10000,"Medium",TRUE,"Low"))</f>
        <v>Low</v>
      </c>
    </row>
    <row r="38" spans="1:27">
      <c r="A38" t="s">
        <v>168</v>
      </c>
      <c r="B38" s="15">
        <v>45858</v>
      </c>
      <c r="C38" s="15">
        <v>45864</v>
      </c>
      <c r="D38" t="s">
        <v>114</v>
      </c>
      <c r="E38" t="s">
        <v>84</v>
      </c>
      <c r="F38" t="s">
        <v>138</v>
      </c>
      <c r="G38" t="s">
        <v>108</v>
      </c>
      <c r="H38" t="s">
        <v>86</v>
      </c>
      <c r="I38" s="17">
        <v>1</v>
      </c>
      <c r="J38" s="16">
        <v>0</v>
      </c>
      <c r="K38" t="s">
        <v>112</v>
      </c>
      <c r="L38" t="s">
        <v>89</v>
      </c>
      <c r="M38" s="17">
        <v>5</v>
      </c>
      <c r="N38" t="str" cm="1">
        <f t="array" ref="N38">_xlfn.XLOOKUP(RawSalesTable5[[#This Row],[Product_Code]],ProductLookupTable[[#All],[Product_Code]],ProductLookupTable[[#All],[Product_Name]],"NOT FOUND")</f>
        <v>24-inch Monitor</v>
      </c>
      <c r="O38" t="str" cm="1">
        <f t="array" ref="O38">_xlfn.XLOOKUP(RawSalesTable5[[#This Row],[Product_Code]],ProductLookupTable[[#All],[Product_Code]],ProductLookupTable[[#All],[Category]],"NOT FOUND")</f>
        <v>Displays</v>
      </c>
      <c r="P38" cm="1">
        <f t="array" ref="P38">_xlfn.XLOOKUP(RawSalesTable5[[#This Row],[Product_Code]],ProductLookupTable[[#All],[Product_Code]],ProductLookupTable[[#All],[Unit_Price]],"NOT FOUND")</f>
        <v>12999</v>
      </c>
      <c r="Q38" t="str">
        <f>IF(COUNTIF(ProductLookupTable[Product_Code],RawSalesTable5[[#This Row],[Product_Code]])=0,"Missing Product","OK")</f>
        <v>OK</v>
      </c>
      <c r="R38" cm="1">
        <f t="array" ref="R38">_xlfn.XLOOKUP(RawSalesTable5[[#This Row],[Product_Code]],ProductLookupTable[[#All],[Product_Code]],ProductLookupTable[[#All],[Unit_Cost]],"NOT FOUND")</f>
        <v>9100</v>
      </c>
      <c r="S38">
        <f>IFERROR(RawSalesTable5[[#This Row],[Quantity]]*RawSalesTable5[[#This Row],[Unit_Price]],"NOT FOUND")</f>
        <v>12999</v>
      </c>
      <c r="T38">
        <f>IFERROR(RawSalesTable5[[#This Row],[Gross_Revenue]]*RawSalesTable5[[#This Row],[Discount_Pct]],"NOT FOUND")</f>
        <v>0</v>
      </c>
      <c r="U38">
        <f>IFERROR(RawSalesTable5[[#This Row],[Gross_Revenue]]-RawSalesTable5[[#This Row],[Discount_Value]],"NOT FOUND")</f>
        <v>12999</v>
      </c>
      <c r="V38">
        <f>IFERROR(RawSalesTable5[[#This Row],[Quantity]]*RawSalesTable5[[#This Row],[Unit_Cost]],"NOT FOUND")</f>
        <v>9100</v>
      </c>
      <c r="W38">
        <f>IFERROR(RawSalesTable5[[#This Row],[Net_Revenue]]-RawSalesTable5[[#This Row],[Cost]],"NOT FOUND")</f>
        <v>3899</v>
      </c>
      <c r="X38" s="27">
        <f>IF(RawSalesTable5[[#This Row],[Lookup_Status]]="Missing Product","",IFERROR(RawSalesTable5[[#This Row],[Profit]]/RawSalesTable5[[#This Row],[Net_Revenue]],0))</f>
        <v>0.29994614970382338</v>
      </c>
      <c r="Y38">
        <f>RawSalesTable5[[#This Row],[Ship_Date]]-RawSalesTable5[[#This Row],[Order_Date]]</f>
        <v>6</v>
      </c>
      <c r="Z38" s="28">
        <f>DATE(YEAR(RawSalesTable5[[#This Row],[Order_Date]]),MONTH(RawSalesTable5[[#This Row],[Order_Date]]),1)</f>
        <v>45839</v>
      </c>
      <c r="AA38" t="str" cm="1">
        <f t="array" ref="AA38">IF(RawSalesTable5[[#This Row],[Lookup_Status]]="Missing Product","",_xlfn.IFS(RawSalesTable5[[#This Row],[Net_Revenue]]&gt;=20000,"High",RawSalesTable5[[#This Row],[Net_Revenue]]&gt;=10000,"Medium",TRUE,"Low"))</f>
        <v>Medium</v>
      </c>
    </row>
    <row r="39" spans="1:27">
      <c r="A39" t="s">
        <v>169</v>
      </c>
      <c r="B39" s="15">
        <v>45908</v>
      </c>
      <c r="C39" s="15">
        <v>45915</v>
      </c>
      <c r="D39" t="s">
        <v>157</v>
      </c>
      <c r="E39" t="s">
        <v>92</v>
      </c>
      <c r="F39" t="s">
        <v>149</v>
      </c>
      <c r="G39" t="s">
        <v>108</v>
      </c>
      <c r="H39" t="s">
        <v>87</v>
      </c>
      <c r="I39" s="17">
        <v>5</v>
      </c>
      <c r="J39" s="16">
        <v>0</v>
      </c>
      <c r="K39" t="s">
        <v>140</v>
      </c>
      <c r="L39" t="s">
        <v>126</v>
      </c>
      <c r="M39" s="17">
        <v>2</v>
      </c>
      <c r="N39" t="str" cm="1">
        <f t="array" ref="N39">_xlfn.XLOOKUP(RawSalesTable5[[#This Row],[Product_Code]],ProductLookupTable[[#All],[Product_Code]],ProductLookupTable[[#All],[Product_Name]],"NOT FOUND")</f>
        <v>Portable HDD 2TB</v>
      </c>
      <c r="O39" t="str" cm="1">
        <f t="array" ref="O39">_xlfn.XLOOKUP(RawSalesTable5[[#This Row],[Product_Code]],ProductLookupTable[[#All],[Product_Code]],ProductLookupTable[[#All],[Category]],"NOT FOUND")</f>
        <v>Storage</v>
      </c>
      <c r="P39" cm="1">
        <f t="array" ref="P39">_xlfn.XLOOKUP(RawSalesTable5[[#This Row],[Product_Code]],ProductLookupTable[[#All],[Product_Code]],ProductLookupTable[[#All],[Unit_Price]],"NOT FOUND")</f>
        <v>5899</v>
      </c>
      <c r="Q39" t="str">
        <f>IF(COUNTIF(ProductLookupTable[Product_Code],RawSalesTable5[[#This Row],[Product_Code]])=0,"Missing Product","OK")</f>
        <v>OK</v>
      </c>
      <c r="R39" cm="1">
        <f t="array" ref="R39">_xlfn.XLOOKUP(RawSalesTable5[[#This Row],[Product_Code]],ProductLookupTable[[#All],[Product_Code]],ProductLookupTable[[#All],[Unit_Cost]],"NOT FOUND")</f>
        <v>4100</v>
      </c>
      <c r="S39">
        <f>IFERROR(RawSalesTable5[[#This Row],[Quantity]]*RawSalesTable5[[#This Row],[Unit_Price]],"NOT FOUND")</f>
        <v>29495</v>
      </c>
      <c r="T39">
        <f>IFERROR(RawSalesTable5[[#This Row],[Gross_Revenue]]*RawSalesTable5[[#This Row],[Discount_Pct]],"NOT FOUND")</f>
        <v>0</v>
      </c>
      <c r="U39">
        <f>IFERROR(RawSalesTable5[[#This Row],[Gross_Revenue]]-RawSalesTable5[[#This Row],[Discount_Value]],"NOT FOUND")</f>
        <v>29495</v>
      </c>
      <c r="V39">
        <f>IFERROR(RawSalesTable5[[#This Row],[Quantity]]*RawSalesTable5[[#This Row],[Unit_Cost]],"NOT FOUND")</f>
        <v>20500</v>
      </c>
      <c r="W39">
        <f>IFERROR(RawSalesTable5[[#This Row],[Net_Revenue]]-RawSalesTable5[[#This Row],[Cost]],"NOT FOUND")</f>
        <v>8995</v>
      </c>
      <c r="X39" s="27">
        <f>IF(RawSalesTable5[[#This Row],[Lookup_Status]]="Missing Product","",IFERROR(RawSalesTable5[[#This Row],[Profit]]/RawSalesTable5[[#This Row],[Net_Revenue]],0))</f>
        <v>0.30496694354975418</v>
      </c>
      <c r="Y39">
        <f>RawSalesTable5[[#This Row],[Ship_Date]]-RawSalesTable5[[#This Row],[Order_Date]]</f>
        <v>7</v>
      </c>
      <c r="Z39" s="28">
        <f>DATE(YEAR(RawSalesTable5[[#This Row],[Order_Date]]),MONTH(RawSalesTable5[[#This Row],[Order_Date]]),1)</f>
        <v>45901</v>
      </c>
      <c r="AA39" t="str" cm="1">
        <f t="array" ref="AA39">IF(RawSalesTable5[[#This Row],[Lookup_Status]]="Missing Product","",_xlfn.IFS(RawSalesTable5[[#This Row],[Net_Revenue]]&gt;=20000,"High",RawSalesTable5[[#This Row],[Net_Revenue]]&gt;=10000,"Medium",TRUE,"Low"))</f>
        <v>High</v>
      </c>
    </row>
    <row r="40" spans="1:27">
      <c r="A40" t="s">
        <v>170</v>
      </c>
      <c r="B40" s="15">
        <v>45921</v>
      </c>
      <c r="C40" s="15">
        <v>45924</v>
      </c>
      <c r="D40" t="s">
        <v>212</v>
      </c>
      <c r="E40" t="s">
        <v>98</v>
      </c>
      <c r="F40" t="s">
        <v>124</v>
      </c>
      <c r="G40" t="s">
        <v>125</v>
      </c>
      <c r="H40" t="s">
        <v>86</v>
      </c>
      <c r="I40" s="17">
        <v>1</v>
      </c>
      <c r="J40" s="16">
        <v>0.2</v>
      </c>
      <c r="K40" t="s">
        <v>88</v>
      </c>
      <c r="L40" t="s">
        <v>89</v>
      </c>
      <c r="M40" s="17">
        <v>3</v>
      </c>
      <c r="N40" t="str" cm="1">
        <f t="array" ref="N40">_xlfn.XLOOKUP(RawSalesTable5[[#This Row],[Product_Code]],ProductLookupTable[[#All],[Product_Code]],ProductLookupTable[[#All],[Product_Name]],"NOT FOUND")</f>
        <v>Wireless Mouse</v>
      </c>
      <c r="O40" t="str" cm="1">
        <f t="array" ref="O40">_xlfn.XLOOKUP(RawSalesTable5[[#This Row],[Product_Code]],ProductLookupTable[[#All],[Product_Code]],ProductLookupTable[[#All],[Category]],"NOT FOUND")</f>
        <v>Accessories</v>
      </c>
      <c r="P40" cm="1">
        <f t="array" ref="P40">_xlfn.XLOOKUP(RawSalesTable5[[#This Row],[Product_Code]],ProductLookupTable[[#All],[Product_Code]],ProductLookupTable[[#All],[Unit_Price]],"NOT FOUND")</f>
        <v>799</v>
      </c>
      <c r="Q40" t="str">
        <f>IF(COUNTIF(ProductLookupTable[Product_Code],RawSalesTable5[[#This Row],[Product_Code]])=0,"Missing Product","OK")</f>
        <v>OK</v>
      </c>
      <c r="R40" cm="1">
        <f t="array" ref="R40">_xlfn.XLOOKUP(RawSalesTable5[[#This Row],[Product_Code]],ProductLookupTable[[#All],[Product_Code]],ProductLookupTable[[#All],[Unit_Cost]],"NOT FOUND")</f>
        <v>420</v>
      </c>
      <c r="S40">
        <f>IFERROR(RawSalesTable5[[#This Row],[Quantity]]*RawSalesTable5[[#This Row],[Unit_Price]],"NOT FOUND")</f>
        <v>799</v>
      </c>
      <c r="T40">
        <f>IFERROR(RawSalesTable5[[#This Row],[Gross_Revenue]]*RawSalesTable5[[#This Row],[Discount_Pct]],"NOT FOUND")</f>
        <v>159.80000000000001</v>
      </c>
      <c r="U40">
        <f>IFERROR(RawSalesTable5[[#This Row],[Gross_Revenue]]-RawSalesTable5[[#This Row],[Discount_Value]],"NOT FOUND")</f>
        <v>639.20000000000005</v>
      </c>
      <c r="V40">
        <f>IFERROR(RawSalesTable5[[#This Row],[Quantity]]*RawSalesTable5[[#This Row],[Unit_Cost]],"NOT FOUND")</f>
        <v>420</v>
      </c>
      <c r="W40">
        <f>IFERROR(RawSalesTable5[[#This Row],[Net_Revenue]]-RawSalesTable5[[#This Row],[Cost]],"NOT FOUND")</f>
        <v>219.20000000000005</v>
      </c>
      <c r="X40" s="27">
        <f>IF(RawSalesTable5[[#This Row],[Lookup_Status]]="Missing Product","",IFERROR(RawSalesTable5[[#This Row],[Profit]]/RawSalesTable5[[#This Row],[Net_Revenue]],0))</f>
        <v>0.34292866082603257</v>
      </c>
      <c r="Y40">
        <f>RawSalesTable5[[#This Row],[Ship_Date]]-RawSalesTable5[[#This Row],[Order_Date]]</f>
        <v>3</v>
      </c>
      <c r="Z40" s="28">
        <f>DATE(YEAR(RawSalesTable5[[#This Row],[Order_Date]]),MONTH(RawSalesTable5[[#This Row],[Order_Date]]),1)</f>
        <v>45901</v>
      </c>
      <c r="AA40" t="str" cm="1">
        <f t="array" ref="AA40">IF(RawSalesTable5[[#This Row],[Lookup_Status]]="Missing Product","",_xlfn.IFS(RawSalesTable5[[#This Row],[Net_Revenue]]&gt;=20000,"High",RawSalesTable5[[#This Row],[Net_Revenue]]&gt;=10000,"Medium",TRUE,"Low"))</f>
        <v>Low</v>
      </c>
    </row>
    <row r="41" spans="1:27">
      <c r="A41" t="s">
        <v>171</v>
      </c>
      <c r="B41" s="15">
        <v>45925</v>
      </c>
      <c r="C41" s="15">
        <v>45932</v>
      </c>
      <c r="D41" t="s">
        <v>123</v>
      </c>
      <c r="E41" t="s">
        <v>101</v>
      </c>
      <c r="F41" t="s">
        <v>121</v>
      </c>
      <c r="G41" t="s">
        <v>108</v>
      </c>
      <c r="H41" t="s">
        <v>87</v>
      </c>
      <c r="I41" s="17">
        <v>1</v>
      </c>
      <c r="J41" s="16">
        <v>0</v>
      </c>
      <c r="K41" t="s">
        <v>140</v>
      </c>
      <c r="L41" t="s">
        <v>89</v>
      </c>
      <c r="M41" s="17">
        <v>4</v>
      </c>
      <c r="N41" t="str" cm="1">
        <f t="array" ref="N41">_xlfn.XLOOKUP(RawSalesTable5[[#This Row],[Product_Code]],ProductLookupTable[[#All],[Product_Code]],ProductLookupTable[[#All],[Product_Name]],"NOT FOUND")</f>
        <v>HD Webcam</v>
      </c>
      <c r="O41" t="str" cm="1">
        <f t="array" ref="O41">_xlfn.XLOOKUP(RawSalesTable5[[#This Row],[Product_Code]],ProductLookupTable[[#All],[Product_Code]],ProductLookupTable[[#All],[Category]],"NOT FOUND")</f>
        <v>Accessories</v>
      </c>
      <c r="P41" cm="1">
        <f t="array" ref="P41">_xlfn.XLOOKUP(RawSalesTable5[[#This Row],[Product_Code]],ProductLookupTable[[#All],[Product_Code]],ProductLookupTable[[#All],[Unit_Price]],"NOT FOUND")</f>
        <v>2899</v>
      </c>
      <c r="Q41" t="str">
        <f>IF(COUNTIF(ProductLookupTable[Product_Code],RawSalesTable5[[#This Row],[Product_Code]])=0,"Missing Product","OK")</f>
        <v>OK</v>
      </c>
      <c r="R41" cm="1">
        <f t="array" ref="R41">_xlfn.XLOOKUP(RawSalesTable5[[#This Row],[Product_Code]],ProductLookupTable[[#All],[Product_Code]],ProductLookupTable[[#All],[Unit_Cost]],"NOT FOUND")</f>
        <v>1700</v>
      </c>
      <c r="S41">
        <f>IFERROR(RawSalesTable5[[#This Row],[Quantity]]*RawSalesTable5[[#This Row],[Unit_Price]],"NOT FOUND")</f>
        <v>2899</v>
      </c>
      <c r="T41">
        <f>IFERROR(RawSalesTable5[[#This Row],[Gross_Revenue]]*RawSalesTable5[[#This Row],[Discount_Pct]],"NOT FOUND")</f>
        <v>0</v>
      </c>
      <c r="U41">
        <f>IFERROR(RawSalesTable5[[#This Row],[Gross_Revenue]]-RawSalesTable5[[#This Row],[Discount_Value]],"NOT FOUND")</f>
        <v>2899</v>
      </c>
      <c r="V41">
        <f>IFERROR(RawSalesTable5[[#This Row],[Quantity]]*RawSalesTable5[[#This Row],[Unit_Cost]],"NOT FOUND")</f>
        <v>1700</v>
      </c>
      <c r="W41">
        <f>IFERROR(RawSalesTable5[[#This Row],[Net_Revenue]]-RawSalesTable5[[#This Row],[Cost]],"NOT FOUND")</f>
        <v>1199</v>
      </c>
      <c r="X41" s="27">
        <f>IF(RawSalesTable5[[#This Row],[Lookup_Status]]="Missing Product","",IFERROR(RawSalesTable5[[#This Row],[Profit]]/RawSalesTable5[[#This Row],[Net_Revenue]],0))</f>
        <v>0.41359089341152122</v>
      </c>
      <c r="Y41">
        <f>RawSalesTable5[[#This Row],[Ship_Date]]-RawSalesTable5[[#This Row],[Order_Date]]</f>
        <v>7</v>
      </c>
      <c r="Z41" s="28">
        <f>DATE(YEAR(RawSalesTable5[[#This Row],[Order_Date]]),MONTH(RawSalesTable5[[#This Row],[Order_Date]]),1)</f>
        <v>45901</v>
      </c>
      <c r="AA41" t="str" cm="1">
        <f t="array" ref="AA41">IF(RawSalesTable5[[#This Row],[Lookup_Status]]="Missing Product","",_xlfn.IFS(RawSalesTable5[[#This Row],[Net_Revenue]]&gt;=20000,"High",RawSalesTable5[[#This Row],[Net_Revenue]]&gt;=10000,"Medium",TRUE,"Low"))</f>
        <v>Low</v>
      </c>
    </row>
    <row r="42" spans="1:27">
      <c r="A42" t="s">
        <v>172</v>
      </c>
      <c r="B42" s="15">
        <v>45981</v>
      </c>
      <c r="C42" s="15">
        <v>45987</v>
      </c>
      <c r="D42" t="s">
        <v>83</v>
      </c>
      <c r="E42" t="s">
        <v>106</v>
      </c>
      <c r="F42" t="s">
        <v>102</v>
      </c>
      <c r="G42" t="s">
        <v>94</v>
      </c>
      <c r="H42" t="s">
        <v>103</v>
      </c>
      <c r="I42" s="17">
        <v>5</v>
      </c>
      <c r="J42" s="16">
        <v>0.2</v>
      </c>
      <c r="K42" t="s">
        <v>95</v>
      </c>
      <c r="L42" t="s">
        <v>89</v>
      </c>
      <c r="M42" s="17">
        <v>3</v>
      </c>
      <c r="N42" t="str" cm="1">
        <f t="array" ref="N42">_xlfn.XLOOKUP(RawSalesTable5[[#This Row],[Product_Code]],ProductLookupTable[[#All],[Product_Code]],ProductLookupTable[[#All],[Product_Name]],"NOT FOUND")</f>
        <v>SSD 1TB</v>
      </c>
      <c r="O42" t="str" cm="1">
        <f t="array" ref="O42">_xlfn.XLOOKUP(RawSalesTable5[[#This Row],[Product_Code]],ProductLookupTable[[#All],[Product_Code]],ProductLookupTable[[#All],[Category]],"NOT FOUND")</f>
        <v>Storage</v>
      </c>
      <c r="P42" cm="1">
        <f t="array" ref="P42">_xlfn.XLOOKUP(RawSalesTable5[[#This Row],[Product_Code]],ProductLookupTable[[#All],[Product_Code]],ProductLookupTable[[#All],[Unit_Price]],"NOT FOUND")</f>
        <v>6999</v>
      </c>
      <c r="Q42" t="str">
        <f>IF(COUNTIF(ProductLookupTable[Product_Code],RawSalesTable5[[#This Row],[Product_Code]])=0,"Missing Product","OK")</f>
        <v>OK</v>
      </c>
      <c r="R42" cm="1">
        <f t="array" ref="R42">_xlfn.XLOOKUP(RawSalesTable5[[#This Row],[Product_Code]],ProductLookupTable[[#All],[Product_Code]],ProductLookupTable[[#All],[Unit_Cost]],"NOT FOUND")</f>
        <v>4900</v>
      </c>
      <c r="S42">
        <f>IFERROR(RawSalesTable5[[#This Row],[Quantity]]*RawSalesTable5[[#This Row],[Unit_Price]],"NOT FOUND")</f>
        <v>34995</v>
      </c>
      <c r="T42">
        <f>IFERROR(RawSalesTable5[[#This Row],[Gross_Revenue]]*RawSalesTable5[[#This Row],[Discount_Pct]],"NOT FOUND")</f>
        <v>6999</v>
      </c>
      <c r="U42">
        <f>IFERROR(RawSalesTable5[[#This Row],[Gross_Revenue]]-RawSalesTable5[[#This Row],[Discount_Value]],"NOT FOUND")</f>
        <v>27996</v>
      </c>
      <c r="V42">
        <f>IFERROR(RawSalesTable5[[#This Row],[Quantity]]*RawSalesTable5[[#This Row],[Unit_Cost]],"NOT FOUND")</f>
        <v>24500</v>
      </c>
      <c r="W42">
        <f>IFERROR(RawSalesTable5[[#This Row],[Net_Revenue]]-RawSalesTable5[[#This Row],[Cost]],"NOT FOUND")</f>
        <v>3496</v>
      </c>
      <c r="X42" s="27">
        <f>IF(RawSalesTable5[[#This Row],[Lookup_Status]]="Missing Product","",IFERROR(RawSalesTable5[[#This Row],[Profit]]/RawSalesTable5[[#This Row],[Net_Revenue]],0))</f>
        <v>0.12487498214030576</v>
      </c>
      <c r="Y42">
        <f>RawSalesTable5[[#This Row],[Ship_Date]]-RawSalesTable5[[#This Row],[Order_Date]]</f>
        <v>6</v>
      </c>
      <c r="Z42" s="28">
        <f>DATE(YEAR(RawSalesTable5[[#This Row],[Order_Date]]),MONTH(RawSalesTable5[[#This Row],[Order_Date]]),1)</f>
        <v>45962</v>
      </c>
      <c r="AA42" t="str" cm="1">
        <f t="array" ref="AA42">IF(RawSalesTable5[[#This Row],[Lookup_Status]]="Missing Product","",_xlfn.IFS(RawSalesTable5[[#This Row],[Net_Revenue]]&gt;=20000,"High",RawSalesTable5[[#This Row],[Net_Revenue]]&gt;=10000,"Medium",TRUE,"Low"))</f>
        <v>High</v>
      </c>
    </row>
    <row r="43" spans="1:27">
      <c r="A43" t="s">
        <v>173</v>
      </c>
      <c r="B43" s="15">
        <v>45746</v>
      </c>
      <c r="C43" s="15">
        <v>45749</v>
      </c>
      <c r="D43" t="s">
        <v>114</v>
      </c>
      <c r="E43" t="s">
        <v>111</v>
      </c>
      <c r="F43" t="s">
        <v>93</v>
      </c>
      <c r="G43" t="s">
        <v>125</v>
      </c>
      <c r="H43" t="s">
        <v>87</v>
      </c>
      <c r="I43" s="17">
        <v>4</v>
      </c>
      <c r="J43" s="16">
        <v>0.05</v>
      </c>
      <c r="K43" t="s">
        <v>88</v>
      </c>
      <c r="L43" t="s">
        <v>89</v>
      </c>
      <c r="M43" s="17">
        <v>4</v>
      </c>
      <c r="N43" t="str" cm="1">
        <f t="array" ref="N43">_xlfn.XLOOKUP(RawSalesTable5[[#This Row],[Product_Code]],ProductLookupTable[[#All],[Product_Code]],ProductLookupTable[[#All],[Product_Name]],"NOT FOUND")</f>
        <v>Wireless Headset</v>
      </c>
      <c r="O43" t="str" cm="1">
        <f t="array" ref="O43">_xlfn.XLOOKUP(RawSalesTable5[[#This Row],[Product_Code]],ProductLookupTable[[#All],[Product_Code]],ProductLookupTable[[#All],[Category]],"NOT FOUND")</f>
        <v>Audio</v>
      </c>
      <c r="P43" cm="1">
        <f t="array" ref="P43">_xlfn.XLOOKUP(RawSalesTable5[[#This Row],[Product_Code]],ProductLookupTable[[#All],[Product_Code]],ProductLookupTable[[#All],[Unit_Price]],"NOT FOUND")</f>
        <v>3499</v>
      </c>
      <c r="Q43" t="str">
        <f>IF(COUNTIF(ProductLookupTable[Product_Code],RawSalesTable5[[#This Row],[Product_Code]])=0,"Missing Product","OK")</f>
        <v>OK</v>
      </c>
      <c r="R43" cm="1">
        <f t="array" ref="R43">_xlfn.XLOOKUP(RawSalesTable5[[#This Row],[Product_Code]],ProductLookupTable[[#All],[Product_Code]],ProductLookupTable[[#All],[Unit_Cost]],"NOT FOUND")</f>
        <v>2100</v>
      </c>
      <c r="S43">
        <f>IFERROR(RawSalesTable5[[#This Row],[Quantity]]*RawSalesTable5[[#This Row],[Unit_Price]],"NOT FOUND")</f>
        <v>13996</v>
      </c>
      <c r="T43">
        <f>IFERROR(RawSalesTable5[[#This Row],[Gross_Revenue]]*RawSalesTable5[[#This Row],[Discount_Pct]],"NOT FOUND")</f>
        <v>699.80000000000007</v>
      </c>
      <c r="U43">
        <f>IFERROR(RawSalesTable5[[#This Row],[Gross_Revenue]]-RawSalesTable5[[#This Row],[Discount_Value]],"NOT FOUND")</f>
        <v>13296.2</v>
      </c>
      <c r="V43">
        <f>IFERROR(RawSalesTable5[[#This Row],[Quantity]]*RawSalesTable5[[#This Row],[Unit_Cost]],"NOT FOUND")</f>
        <v>8400</v>
      </c>
      <c r="W43">
        <f>IFERROR(RawSalesTable5[[#This Row],[Net_Revenue]]-RawSalesTable5[[#This Row],[Cost]],"NOT FOUND")</f>
        <v>4896.2000000000007</v>
      </c>
      <c r="X43" s="27">
        <f>IF(RawSalesTable5[[#This Row],[Lookup_Status]]="Missing Product","",IFERROR(RawSalesTable5[[#This Row],[Profit]]/RawSalesTable5[[#This Row],[Net_Revenue]],0))</f>
        <v>0.36824054993155941</v>
      </c>
      <c r="Y43">
        <f>RawSalesTable5[[#This Row],[Ship_Date]]-RawSalesTable5[[#This Row],[Order_Date]]</f>
        <v>3</v>
      </c>
      <c r="Z43" s="28">
        <f>DATE(YEAR(RawSalesTable5[[#This Row],[Order_Date]]),MONTH(RawSalesTable5[[#This Row],[Order_Date]]),1)</f>
        <v>45717</v>
      </c>
      <c r="AA43" t="str" cm="1">
        <f t="array" ref="AA43">IF(RawSalesTable5[[#This Row],[Lookup_Status]]="Missing Product","",_xlfn.IFS(RawSalesTable5[[#This Row],[Net_Revenue]]&gt;=20000,"High",RawSalesTable5[[#This Row],[Net_Revenue]]&gt;=10000,"Medium",TRUE,"Low"))</f>
        <v>Medium</v>
      </c>
    </row>
    <row r="44" spans="1:27">
      <c r="A44" t="s">
        <v>174</v>
      </c>
      <c r="B44" s="15">
        <v>45844</v>
      </c>
      <c r="C44" s="15">
        <v>45850</v>
      </c>
      <c r="D44" t="s">
        <v>157</v>
      </c>
      <c r="E44" t="s">
        <v>84</v>
      </c>
      <c r="F44" t="s">
        <v>149</v>
      </c>
      <c r="G44" t="s">
        <v>94</v>
      </c>
      <c r="H44" t="s">
        <v>103</v>
      </c>
      <c r="I44" s="17">
        <v>5</v>
      </c>
      <c r="J44" s="16">
        <v>0.15</v>
      </c>
      <c r="K44" t="s">
        <v>112</v>
      </c>
      <c r="L44" t="s">
        <v>89</v>
      </c>
      <c r="M44" s="17">
        <v>5</v>
      </c>
      <c r="N44" t="str" cm="1">
        <f t="array" ref="N44">_xlfn.XLOOKUP(RawSalesTable5[[#This Row],[Product_Code]],ProductLookupTable[[#All],[Product_Code]],ProductLookupTable[[#All],[Product_Name]],"NOT FOUND")</f>
        <v>Portable HDD 2TB</v>
      </c>
      <c r="O44" t="str" cm="1">
        <f t="array" ref="O44">_xlfn.XLOOKUP(RawSalesTable5[[#This Row],[Product_Code]],ProductLookupTable[[#All],[Product_Code]],ProductLookupTable[[#All],[Category]],"NOT FOUND")</f>
        <v>Storage</v>
      </c>
      <c r="P44" cm="1">
        <f t="array" ref="P44">_xlfn.XLOOKUP(RawSalesTable5[[#This Row],[Product_Code]],ProductLookupTable[[#All],[Product_Code]],ProductLookupTable[[#All],[Unit_Price]],"NOT FOUND")</f>
        <v>5899</v>
      </c>
      <c r="Q44" t="str">
        <f>IF(COUNTIF(ProductLookupTable[Product_Code],RawSalesTable5[[#This Row],[Product_Code]])=0,"Missing Product","OK")</f>
        <v>OK</v>
      </c>
      <c r="R44" cm="1">
        <f t="array" ref="R44">_xlfn.XLOOKUP(RawSalesTable5[[#This Row],[Product_Code]],ProductLookupTable[[#All],[Product_Code]],ProductLookupTable[[#All],[Unit_Cost]],"NOT FOUND")</f>
        <v>4100</v>
      </c>
      <c r="S44">
        <f>IFERROR(RawSalesTable5[[#This Row],[Quantity]]*RawSalesTable5[[#This Row],[Unit_Price]],"NOT FOUND")</f>
        <v>29495</v>
      </c>
      <c r="T44">
        <f>IFERROR(RawSalesTable5[[#This Row],[Gross_Revenue]]*RawSalesTable5[[#This Row],[Discount_Pct]],"NOT FOUND")</f>
        <v>4424.25</v>
      </c>
      <c r="U44">
        <f>IFERROR(RawSalesTable5[[#This Row],[Gross_Revenue]]-RawSalesTable5[[#This Row],[Discount_Value]],"NOT FOUND")</f>
        <v>25070.75</v>
      </c>
      <c r="V44">
        <f>IFERROR(RawSalesTable5[[#This Row],[Quantity]]*RawSalesTable5[[#This Row],[Unit_Cost]],"NOT FOUND")</f>
        <v>20500</v>
      </c>
      <c r="W44">
        <f>IFERROR(RawSalesTable5[[#This Row],[Net_Revenue]]-RawSalesTable5[[#This Row],[Cost]],"NOT FOUND")</f>
        <v>4570.75</v>
      </c>
      <c r="X44" s="27">
        <f>IF(RawSalesTable5[[#This Row],[Lookup_Status]]="Missing Product","",IFERROR(RawSalesTable5[[#This Row],[Profit]]/RawSalesTable5[[#This Row],[Net_Revenue]],0))</f>
        <v>0.18231405123500494</v>
      </c>
      <c r="Y44">
        <f>RawSalesTable5[[#This Row],[Ship_Date]]-RawSalesTable5[[#This Row],[Order_Date]]</f>
        <v>6</v>
      </c>
      <c r="Z44" s="28">
        <f>DATE(YEAR(RawSalesTable5[[#This Row],[Order_Date]]),MONTH(RawSalesTable5[[#This Row],[Order_Date]]),1)</f>
        <v>45839</v>
      </c>
      <c r="AA44" t="str" cm="1">
        <f t="array" ref="AA44">IF(RawSalesTable5[[#This Row],[Lookup_Status]]="Missing Product","",_xlfn.IFS(RawSalesTable5[[#This Row],[Net_Revenue]]&gt;=20000,"High",RawSalesTable5[[#This Row],[Net_Revenue]]&gt;=10000,"Medium",TRUE,"Low"))</f>
        <v>High</v>
      </c>
    </row>
    <row r="45" spans="1:27">
      <c r="A45" t="s">
        <v>175</v>
      </c>
      <c r="B45" s="15">
        <v>45886</v>
      </c>
      <c r="C45" s="15">
        <v>45893</v>
      </c>
      <c r="D45" t="s">
        <v>212</v>
      </c>
      <c r="E45" t="s">
        <v>92</v>
      </c>
      <c r="F45" t="s">
        <v>102</v>
      </c>
      <c r="G45" t="s">
        <v>86</v>
      </c>
      <c r="H45" t="s">
        <v>87</v>
      </c>
      <c r="I45" s="17">
        <v>2</v>
      </c>
      <c r="J45" s="16">
        <v>0.1</v>
      </c>
      <c r="K45" t="s">
        <v>88</v>
      </c>
      <c r="L45" t="s">
        <v>89</v>
      </c>
      <c r="M45" s="17">
        <v>3</v>
      </c>
      <c r="N45" t="str" cm="1">
        <f t="array" ref="N45">_xlfn.XLOOKUP(RawSalesTable5[[#This Row],[Product_Code]],ProductLookupTable[[#All],[Product_Code]],ProductLookupTable[[#All],[Product_Name]],"NOT FOUND")</f>
        <v>SSD 1TB</v>
      </c>
      <c r="O45" t="str" cm="1">
        <f t="array" ref="O45">_xlfn.XLOOKUP(RawSalesTable5[[#This Row],[Product_Code]],ProductLookupTable[[#All],[Product_Code]],ProductLookupTable[[#All],[Category]],"NOT FOUND")</f>
        <v>Storage</v>
      </c>
      <c r="P45" cm="1">
        <f t="array" ref="P45">_xlfn.XLOOKUP(RawSalesTable5[[#This Row],[Product_Code]],ProductLookupTable[[#All],[Product_Code]],ProductLookupTable[[#All],[Unit_Price]],"NOT FOUND")</f>
        <v>6999</v>
      </c>
      <c r="Q45" t="str">
        <f>IF(COUNTIF(ProductLookupTable[Product_Code],RawSalesTable5[[#This Row],[Product_Code]])=0,"Missing Product","OK")</f>
        <v>OK</v>
      </c>
      <c r="R45" cm="1">
        <f t="array" ref="R45">_xlfn.XLOOKUP(RawSalesTable5[[#This Row],[Product_Code]],ProductLookupTable[[#All],[Product_Code]],ProductLookupTable[[#All],[Unit_Cost]],"NOT FOUND")</f>
        <v>4900</v>
      </c>
      <c r="S45">
        <f>IFERROR(RawSalesTable5[[#This Row],[Quantity]]*RawSalesTable5[[#This Row],[Unit_Price]],"NOT FOUND")</f>
        <v>13998</v>
      </c>
      <c r="T45">
        <f>IFERROR(RawSalesTable5[[#This Row],[Gross_Revenue]]*RawSalesTable5[[#This Row],[Discount_Pct]],"NOT FOUND")</f>
        <v>1399.8000000000002</v>
      </c>
      <c r="U45">
        <f>IFERROR(RawSalesTable5[[#This Row],[Gross_Revenue]]-RawSalesTable5[[#This Row],[Discount_Value]],"NOT FOUND")</f>
        <v>12598.2</v>
      </c>
      <c r="V45">
        <f>IFERROR(RawSalesTable5[[#This Row],[Quantity]]*RawSalesTable5[[#This Row],[Unit_Cost]],"NOT FOUND")</f>
        <v>9800</v>
      </c>
      <c r="W45">
        <f>IFERROR(RawSalesTable5[[#This Row],[Net_Revenue]]-RawSalesTable5[[#This Row],[Cost]],"NOT FOUND")</f>
        <v>2798.2000000000007</v>
      </c>
      <c r="X45" s="27">
        <f>IF(RawSalesTable5[[#This Row],[Lookup_Status]]="Missing Product","",IFERROR(RawSalesTable5[[#This Row],[Profit]]/RawSalesTable5[[#This Row],[Net_Revenue]],0))</f>
        <v>0.22211109523582739</v>
      </c>
      <c r="Y45">
        <f>RawSalesTable5[[#This Row],[Ship_Date]]-RawSalesTable5[[#This Row],[Order_Date]]</f>
        <v>7</v>
      </c>
      <c r="Z45" s="28">
        <f>DATE(YEAR(RawSalesTable5[[#This Row],[Order_Date]]),MONTH(RawSalesTable5[[#This Row],[Order_Date]]),1)</f>
        <v>45870</v>
      </c>
      <c r="AA45" t="str" cm="1">
        <f t="array" ref="AA45">IF(RawSalesTable5[[#This Row],[Lookup_Status]]="Missing Product","",_xlfn.IFS(RawSalesTable5[[#This Row],[Net_Revenue]]&gt;=20000,"High",RawSalesTable5[[#This Row],[Net_Revenue]]&gt;=10000,"Medium",TRUE,"Low"))</f>
        <v>Medium</v>
      </c>
    </row>
    <row r="46" spans="1:27">
      <c r="A46" t="s">
        <v>176</v>
      </c>
      <c r="B46" s="15">
        <v>45810</v>
      </c>
      <c r="C46" s="15">
        <v>45814</v>
      </c>
      <c r="D46" t="s">
        <v>123</v>
      </c>
      <c r="E46" t="s">
        <v>98</v>
      </c>
      <c r="F46" t="s">
        <v>138</v>
      </c>
      <c r="G46" t="s">
        <v>94</v>
      </c>
      <c r="H46" t="s">
        <v>103</v>
      </c>
      <c r="I46" s="17">
        <v>5</v>
      </c>
      <c r="J46" s="16">
        <v>0.2</v>
      </c>
      <c r="K46" t="s">
        <v>112</v>
      </c>
      <c r="L46" t="s">
        <v>89</v>
      </c>
      <c r="M46" s="17">
        <v>4</v>
      </c>
      <c r="N46" t="str" cm="1">
        <f t="array" ref="N46">_xlfn.XLOOKUP(RawSalesTable5[[#This Row],[Product_Code]],ProductLookupTable[[#All],[Product_Code]],ProductLookupTable[[#All],[Product_Name]],"NOT FOUND")</f>
        <v>24-inch Monitor</v>
      </c>
      <c r="O46" t="str" cm="1">
        <f t="array" ref="O46">_xlfn.XLOOKUP(RawSalesTable5[[#This Row],[Product_Code]],ProductLookupTable[[#All],[Product_Code]],ProductLookupTable[[#All],[Category]],"NOT FOUND")</f>
        <v>Displays</v>
      </c>
      <c r="P46" cm="1">
        <f t="array" ref="P46">_xlfn.XLOOKUP(RawSalesTable5[[#This Row],[Product_Code]],ProductLookupTable[[#All],[Product_Code]],ProductLookupTable[[#All],[Unit_Price]],"NOT FOUND")</f>
        <v>12999</v>
      </c>
      <c r="Q46" t="str">
        <f>IF(COUNTIF(ProductLookupTable[Product_Code],RawSalesTable5[[#This Row],[Product_Code]])=0,"Missing Product","OK")</f>
        <v>OK</v>
      </c>
      <c r="R46" cm="1">
        <f t="array" ref="R46">_xlfn.XLOOKUP(RawSalesTable5[[#This Row],[Product_Code]],ProductLookupTable[[#All],[Product_Code]],ProductLookupTable[[#All],[Unit_Cost]],"NOT FOUND")</f>
        <v>9100</v>
      </c>
      <c r="S46">
        <f>IFERROR(RawSalesTable5[[#This Row],[Quantity]]*RawSalesTable5[[#This Row],[Unit_Price]],"NOT FOUND")</f>
        <v>64995</v>
      </c>
      <c r="T46">
        <f>IFERROR(RawSalesTable5[[#This Row],[Gross_Revenue]]*RawSalesTable5[[#This Row],[Discount_Pct]],"NOT FOUND")</f>
        <v>12999</v>
      </c>
      <c r="U46">
        <f>IFERROR(RawSalesTable5[[#This Row],[Gross_Revenue]]-RawSalesTable5[[#This Row],[Discount_Value]],"NOT FOUND")</f>
        <v>51996</v>
      </c>
      <c r="V46">
        <f>IFERROR(RawSalesTable5[[#This Row],[Quantity]]*RawSalesTable5[[#This Row],[Unit_Cost]],"NOT FOUND")</f>
        <v>45500</v>
      </c>
      <c r="W46">
        <f>IFERROR(RawSalesTable5[[#This Row],[Net_Revenue]]-RawSalesTable5[[#This Row],[Cost]],"NOT FOUND")</f>
        <v>6496</v>
      </c>
      <c r="X46" s="27">
        <f>IF(RawSalesTable5[[#This Row],[Lookup_Status]]="Missing Product","",IFERROR(RawSalesTable5[[#This Row],[Profit]]/RawSalesTable5[[#This Row],[Net_Revenue]],0))</f>
        <v>0.12493268712977922</v>
      </c>
      <c r="Y46">
        <f>RawSalesTable5[[#This Row],[Ship_Date]]-RawSalesTable5[[#This Row],[Order_Date]]</f>
        <v>4</v>
      </c>
      <c r="Z46" s="28">
        <f>DATE(YEAR(RawSalesTable5[[#This Row],[Order_Date]]),MONTH(RawSalesTable5[[#This Row],[Order_Date]]),1)</f>
        <v>45809</v>
      </c>
      <c r="AA46" t="str" cm="1">
        <f t="array" ref="AA46">IF(RawSalesTable5[[#This Row],[Lookup_Status]]="Missing Product","",_xlfn.IFS(RawSalesTable5[[#This Row],[Net_Revenue]]&gt;=20000,"High",RawSalesTable5[[#This Row],[Net_Revenue]]&gt;=10000,"Medium",TRUE,"Low"))</f>
        <v>High</v>
      </c>
    </row>
    <row r="47" spans="1:27">
      <c r="A47" t="s">
        <v>177</v>
      </c>
      <c r="B47" s="15">
        <v>45796</v>
      </c>
      <c r="C47" s="15">
        <v>45797</v>
      </c>
      <c r="D47" t="s">
        <v>83</v>
      </c>
      <c r="E47" t="s">
        <v>101</v>
      </c>
      <c r="F47" t="s">
        <v>107</v>
      </c>
      <c r="G47" t="s">
        <v>94</v>
      </c>
      <c r="H47" t="s">
        <v>103</v>
      </c>
      <c r="I47" s="17">
        <v>4</v>
      </c>
      <c r="J47" s="16">
        <v>0</v>
      </c>
      <c r="K47" t="s">
        <v>119</v>
      </c>
      <c r="L47" t="s">
        <v>89</v>
      </c>
      <c r="M47" s="17">
        <v>5</v>
      </c>
      <c r="N47" t="str" cm="1">
        <f t="array" ref="N47">_xlfn.XLOOKUP(RawSalesTable5[[#This Row],[Product_Code]],ProductLookupTable[[#All],[Product_Code]],ProductLookupTable[[#All],[Product_Name]],"NOT FOUND")</f>
        <v>Bluetooth Speaker</v>
      </c>
      <c r="O47" t="str" cm="1">
        <f t="array" ref="O47">_xlfn.XLOOKUP(RawSalesTable5[[#This Row],[Product_Code]],ProductLookupTable[[#All],[Product_Code]],ProductLookupTable[[#All],[Category]],"NOT FOUND")</f>
        <v>Audio</v>
      </c>
      <c r="P47" cm="1">
        <f t="array" ref="P47">_xlfn.XLOOKUP(RawSalesTable5[[#This Row],[Product_Code]],ProductLookupTable[[#All],[Product_Code]],ProductLookupTable[[#All],[Unit_Price]],"NOT FOUND")</f>
        <v>2799</v>
      </c>
      <c r="Q47" t="str">
        <f>IF(COUNTIF(ProductLookupTable[Product_Code],RawSalesTable5[[#This Row],[Product_Code]])=0,"Missing Product","OK")</f>
        <v>OK</v>
      </c>
      <c r="R47" cm="1">
        <f t="array" ref="R47">_xlfn.XLOOKUP(RawSalesTable5[[#This Row],[Product_Code]],ProductLookupTable[[#All],[Product_Code]],ProductLookupTable[[#All],[Unit_Cost]],"NOT FOUND")</f>
        <v>1650</v>
      </c>
      <c r="S47">
        <f>IFERROR(RawSalesTable5[[#This Row],[Quantity]]*RawSalesTable5[[#This Row],[Unit_Price]],"NOT FOUND")</f>
        <v>11196</v>
      </c>
      <c r="T47">
        <f>IFERROR(RawSalesTable5[[#This Row],[Gross_Revenue]]*RawSalesTable5[[#This Row],[Discount_Pct]],"NOT FOUND")</f>
        <v>0</v>
      </c>
      <c r="U47">
        <f>IFERROR(RawSalesTable5[[#This Row],[Gross_Revenue]]-RawSalesTable5[[#This Row],[Discount_Value]],"NOT FOUND")</f>
        <v>11196</v>
      </c>
      <c r="V47">
        <f>IFERROR(RawSalesTable5[[#This Row],[Quantity]]*RawSalesTable5[[#This Row],[Unit_Cost]],"NOT FOUND")</f>
        <v>6600</v>
      </c>
      <c r="W47">
        <f>IFERROR(RawSalesTable5[[#This Row],[Net_Revenue]]-RawSalesTable5[[#This Row],[Cost]],"NOT FOUND")</f>
        <v>4596</v>
      </c>
      <c r="X47" s="27">
        <f>IF(RawSalesTable5[[#This Row],[Lookup_Status]]="Missing Product","",IFERROR(RawSalesTable5[[#This Row],[Profit]]/RawSalesTable5[[#This Row],[Net_Revenue]],0))</f>
        <v>0.41050375133976419</v>
      </c>
      <c r="Y47">
        <f>RawSalesTable5[[#This Row],[Ship_Date]]-RawSalesTable5[[#This Row],[Order_Date]]</f>
        <v>1</v>
      </c>
      <c r="Z47" s="28">
        <f>DATE(YEAR(RawSalesTable5[[#This Row],[Order_Date]]),MONTH(RawSalesTable5[[#This Row],[Order_Date]]),1)</f>
        <v>45778</v>
      </c>
      <c r="AA47" t="str" cm="1">
        <f t="array" ref="AA47">IF(RawSalesTable5[[#This Row],[Lookup_Status]]="Missing Product","",_xlfn.IFS(RawSalesTable5[[#This Row],[Net_Revenue]]&gt;=20000,"High",RawSalesTable5[[#This Row],[Net_Revenue]]&gt;=10000,"Medium",TRUE,"Low"))</f>
        <v>Medium</v>
      </c>
    </row>
    <row r="48" spans="1:27">
      <c r="A48" t="s">
        <v>178</v>
      </c>
      <c r="B48" s="15">
        <v>45816</v>
      </c>
      <c r="C48" s="15">
        <v>45824</v>
      </c>
      <c r="D48" t="s">
        <v>114</v>
      </c>
      <c r="E48" t="s">
        <v>106</v>
      </c>
      <c r="F48" t="s">
        <v>138</v>
      </c>
      <c r="G48" t="s">
        <v>94</v>
      </c>
      <c r="H48" t="s">
        <v>103</v>
      </c>
      <c r="I48" s="17">
        <v>2</v>
      </c>
      <c r="J48" s="16">
        <v>0.05</v>
      </c>
      <c r="K48" t="s">
        <v>112</v>
      </c>
      <c r="L48" t="s">
        <v>89</v>
      </c>
      <c r="M48" s="17">
        <v>4</v>
      </c>
      <c r="N48" t="str" cm="1">
        <f t="array" ref="N48">_xlfn.XLOOKUP(RawSalesTable5[[#This Row],[Product_Code]],ProductLookupTable[[#All],[Product_Code]],ProductLookupTable[[#All],[Product_Name]],"NOT FOUND")</f>
        <v>24-inch Monitor</v>
      </c>
      <c r="O48" t="str" cm="1">
        <f t="array" ref="O48">_xlfn.XLOOKUP(RawSalesTable5[[#This Row],[Product_Code]],ProductLookupTable[[#All],[Product_Code]],ProductLookupTable[[#All],[Category]],"NOT FOUND")</f>
        <v>Displays</v>
      </c>
      <c r="P48" cm="1">
        <f t="array" ref="P48">_xlfn.XLOOKUP(RawSalesTable5[[#This Row],[Product_Code]],ProductLookupTable[[#All],[Product_Code]],ProductLookupTable[[#All],[Unit_Price]],"NOT FOUND")</f>
        <v>12999</v>
      </c>
      <c r="Q48" t="str">
        <f>IF(COUNTIF(ProductLookupTable[Product_Code],RawSalesTable5[[#This Row],[Product_Code]])=0,"Missing Product","OK")</f>
        <v>OK</v>
      </c>
      <c r="R48" cm="1">
        <f t="array" ref="R48">_xlfn.XLOOKUP(RawSalesTable5[[#This Row],[Product_Code]],ProductLookupTable[[#All],[Product_Code]],ProductLookupTable[[#All],[Unit_Cost]],"NOT FOUND")</f>
        <v>9100</v>
      </c>
      <c r="S48">
        <f>IFERROR(RawSalesTable5[[#This Row],[Quantity]]*RawSalesTable5[[#This Row],[Unit_Price]],"NOT FOUND")</f>
        <v>25998</v>
      </c>
      <c r="T48">
        <f>IFERROR(RawSalesTable5[[#This Row],[Gross_Revenue]]*RawSalesTable5[[#This Row],[Discount_Pct]],"NOT FOUND")</f>
        <v>1299.9000000000001</v>
      </c>
      <c r="U48">
        <f>IFERROR(RawSalesTable5[[#This Row],[Gross_Revenue]]-RawSalesTable5[[#This Row],[Discount_Value]],"NOT FOUND")</f>
        <v>24698.1</v>
      </c>
      <c r="V48">
        <f>IFERROR(RawSalesTable5[[#This Row],[Quantity]]*RawSalesTable5[[#This Row],[Unit_Cost]],"NOT FOUND")</f>
        <v>18200</v>
      </c>
      <c r="W48">
        <f>IFERROR(RawSalesTable5[[#This Row],[Net_Revenue]]-RawSalesTable5[[#This Row],[Cost]],"NOT FOUND")</f>
        <v>6498.0999999999985</v>
      </c>
      <c r="X48" s="27">
        <f>IF(RawSalesTable5[[#This Row],[Lookup_Status]]="Missing Product","",IFERROR(RawSalesTable5[[#This Row],[Profit]]/RawSalesTable5[[#This Row],[Net_Revenue]],0))</f>
        <v>0.26310121021455085</v>
      </c>
      <c r="Y48">
        <f>RawSalesTable5[[#This Row],[Ship_Date]]-RawSalesTable5[[#This Row],[Order_Date]]</f>
        <v>8</v>
      </c>
      <c r="Z48" s="28">
        <f>DATE(YEAR(RawSalesTable5[[#This Row],[Order_Date]]),MONTH(RawSalesTable5[[#This Row],[Order_Date]]),1)</f>
        <v>45809</v>
      </c>
      <c r="AA48" t="str" cm="1">
        <f t="array" ref="AA48">IF(RawSalesTable5[[#This Row],[Lookup_Status]]="Missing Product","",_xlfn.IFS(RawSalesTable5[[#This Row],[Net_Revenue]]&gt;=20000,"High",RawSalesTable5[[#This Row],[Net_Revenue]]&gt;=10000,"Medium",TRUE,"Low"))</f>
        <v>High</v>
      </c>
    </row>
    <row r="49" spans="1:27">
      <c r="A49" t="s">
        <v>179</v>
      </c>
      <c r="B49" s="15">
        <v>45881</v>
      </c>
      <c r="C49" s="15">
        <v>45882</v>
      </c>
      <c r="D49" t="s">
        <v>157</v>
      </c>
      <c r="E49" t="s">
        <v>111</v>
      </c>
      <c r="F49" t="s">
        <v>147</v>
      </c>
      <c r="G49" t="s">
        <v>86</v>
      </c>
      <c r="H49" t="s">
        <v>86</v>
      </c>
      <c r="I49" s="17">
        <v>1</v>
      </c>
      <c r="J49" s="16">
        <v>0.15</v>
      </c>
      <c r="K49" t="s">
        <v>112</v>
      </c>
      <c r="L49" t="s">
        <v>89</v>
      </c>
      <c r="M49" s="17">
        <v>5</v>
      </c>
      <c r="N49" t="str" cm="1">
        <f t="array" ref="N49">_xlfn.XLOOKUP(RawSalesTable5[[#This Row],[Product_Code]],ProductLookupTable[[#All],[Product_Code]],ProductLookupTable[[#All],[Product_Name]],"NOT FOUND")</f>
        <v>LED Desk Lamp</v>
      </c>
      <c r="O49" t="str" cm="1">
        <f t="array" ref="O49">_xlfn.XLOOKUP(RawSalesTable5[[#This Row],[Product_Code]],ProductLookupTable[[#All],[Product_Code]],ProductLookupTable[[#All],[Category]],"NOT FOUND")</f>
        <v>Furniture</v>
      </c>
      <c r="P49" cm="1">
        <f t="array" ref="P49">_xlfn.XLOOKUP(RawSalesTable5[[#This Row],[Product_Code]],ProductLookupTable[[#All],[Product_Code]],ProductLookupTable[[#All],[Unit_Price]],"NOT FOUND")</f>
        <v>1999</v>
      </c>
      <c r="Q49" t="str">
        <f>IF(COUNTIF(ProductLookupTable[Product_Code],RawSalesTable5[[#This Row],[Product_Code]])=0,"Missing Product","OK")</f>
        <v>OK</v>
      </c>
      <c r="R49" cm="1">
        <f t="array" ref="R49">_xlfn.XLOOKUP(RawSalesTable5[[#This Row],[Product_Code]],ProductLookupTable[[#All],[Product_Code]],ProductLookupTable[[#All],[Unit_Cost]],"NOT FOUND")</f>
        <v>1050</v>
      </c>
      <c r="S49">
        <f>IFERROR(RawSalesTable5[[#This Row],[Quantity]]*RawSalesTable5[[#This Row],[Unit_Price]],"NOT FOUND")</f>
        <v>1999</v>
      </c>
      <c r="T49">
        <f>IFERROR(RawSalesTable5[[#This Row],[Gross_Revenue]]*RawSalesTable5[[#This Row],[Discount_Pct]],"NOT FOUND")</f>
        <v>299.84999999999997</v>
      </c>
      <c r="U49">
        <f>IFERROR(RawSalesTable5[[#This Row],[Gross_Revenue]]-RawSalesTable5[[#This Row],[Discount_Value]],"NOT FOUND")</f>
        <v>1699.15</v>
      </c>
      <c r="V49">
        <f>IFERROR(RawSalesTable5[[#This Row],[Quantity]]*RawSalesTable5[[#This Row],[Unit_Cost]],"NOT FOUND")</f>
        <v>1050</v>
      </c>
      <c r="W49">
        <f>IFERROR(RawSalesTable5[[#This Row],[Net_Revenue]]-RawSalesTable5[[#This Row],[Cost]],"NOT FOUND")</f>
        <v>649.15000000000009</v>
      </c>
      <c r="X49" s="27">
        <f>IF(RawSalesTable5[[#This Row],[Lookup_Status]]="Missing Product","",IFERROR(RawSalesTable5[[#This Row],[Profit]]/RawSalesTable5[[#This Row],[Net_Revenue]],0))</f>
        <v>0.38204396315804967</v>
      </c>
      <c r="Y49">
        <f>RawSalesTable5[[#This Row],[Ship_Date]]-RawSalesTable5[[#This Row],[Order_Date]]</f>
        <v>1</v>
      </c>
      <c r="Z49" s="28">
        <f>DATE(YEAR(RawSalesTable5[[#This Row],[Order_Date]]),MONTH(RawSalesTable5[[#This Row],[Order_Date]]),1)</f>
        <v>45870</v>
      </c>
      <c r="AA49" t="str" cm="1">
        <f t="array" ref="AA49">IF(RawSalesTable5[[#This Row],[Lookup_Status]]="Missing Product","",_xlfn.IFS(RawSalesTable5[[#This Row],[Net_Revenue]]&gt;=20000,"High",RawSalesTable5[[#This Row],[Net_Revenue]]&gt;=10000,"Medium",TRUE,"Low"))</f>
        <v>Low</v>
      </c>
    </row>
    <row r="50" spans="1:27">
      <c r="A50" t="s">
        <v>180</v>
      </c>
      <c r="B50" s="15">
        <v>45817</v>
      </c>
      <c r="C50" s="15">
        <v>45825</v>
      </c>
      <c r="D50" t="s">
        <v>212</v>
      </c>
      <c r="E50" t="s">
        <v>84</v>
      </c>
      <c r="F50" t="s">
        <v>121</v>
      </c>
      <c r="G50" t="s">
        <v>125</v>
      </c>
      <c r="H50" t="s">
        <v>86</v>
      </c>
      <c r="I50" s="17">
        <v>2</v>
      </c>
      <c r="J50" s="16">
        <v>0</v>
      </c>
      <c r="K50" t="s">
        <v>95</v>
      </c>
      <c r="L50" t="s">
        <v>89</v>
      </c>
      <c r="M50" s="17">
        <v>5</v>
      </c>
      <c r="N50" t="str" cm="1">
        <f t="array" ref="N50">_xlfn.XLOOKUP(RawSalesTable5[[#This Row],[Product_Code]],ProductLookupTable[[#All],[Product_Code]],ProductLookupTable[[#All],[Product_Name]],"NOT FOUND")</f>
        <v>HD Webcam</v>
      </c>
      <c r="O50" t="str" cm="1">
        <f t="array" ref="O50">_xlfn.XLOOKUP(RawSalesTable5[[#This Row],[Product_Code]],ProductLookupTable[[#All],[Product_Code]],ProductLookupTable[[#All],[Category]],"NOT FOUND")</f>
        <v>Accessories</v>
      </c>
      <c r="P50" cm="1">
        <f t="array" ref="P50">_xlfn.XLOOKUP(RawSalesTable5[[#This Row],[Product_Code]],ProductLookupTable[[#All],[Product_Code]],ProductLookupTable[[#All],[Unit_Price]],"NOT FOUND")</f>
        <v>2899</v>
      </c>
      <c r="Q50" t="str">
        <f>IF(COUNTIF(ProductLookupTable[Product_Code],RawSalesTable5[[#This Row],[Product_Code]])=0,"Missing Product","OK")</f>
        <v>OK</v>
      </c>
      <c r="R50" cm="1">
        <f t="array" ref="R50">_xlfn.XLOOKUP(RawSalesTable5[[#This Row],[Product_Code]],ProductLookupTable[[#All],[Product_Code]],ProductLookupTable[[#All],[Unit_Cost]],"NOT FOUND")</f>
        <v>1700</v>
      </c>
      <c r="S50">
        <f>IFERROR(RawSalesTable5[[#This Row],[Quantity]]*RawSalesTable5[[#This Row],[Unit_Price]],"NOT FOUND")</f>
        <v>5798</v>
      </c>
      <c r="T50">
        <f>IFERROR(RawSalesTable5[[#This Row],[Gross_Revenue]]*RawSalesTable5[[#This Row],[Discount_Pct]],"NOT FOUND")</f>
        <v>0</v>
      </c>
      <c r="U50">
        <f>IFERROR(RawSalesTable5[[#This Row],[Gross_Revenue]]-RawSalesTable5[[#This Row],[Discount_Value]],"NOT FOUND")</f>
        <v>5798</v>
      </c>
      <c r="V50">
        <f>IFERROR(RawSalesTable5[[#This Row],[Quantity]]*RawSalesTable5[[#This Row],[Unit_Cost]],"NOT FOUND")</f>
        <v>3400</v>
      </c>
      <c r="W50">
        <f>IFERROR(RawSalesTable5[[#This Row],[Net_Revenue]]-RawSalesTable5[[#This Row],[Cost]],"NOT FOUND")</f>
        <v>2398</v>
      </c>
      <c r="X50" s="27">
        <f>IF(RawSalesTable5[[#This Row],[Lookup_Status]]="Missing Product","",IFERROR(RawSalesTable5[[#This Row],[Profit]]/RawSalesTable5[[#This Row],[Net_Revenue]],0))</f>
        <v>0.41359089341152122</v>
      </c>
      <c r="Y50">
        <f>RawSalesTable5[[#This Row],[Ship_Date]]-RawSalesTable5[[#This Row],[Order_Date]]</f>
        <v>8</v>
      </c>
      <c r="Z50" s="28">
        <f>DATE(YEAR(RawSalesTable5[[#This Row],[Order_Date]]),MONTH(RawSalesTable5[[#This Row],[Order_Date]]),1)</f>
        <v>45809</v>
      </c>
      <c r="AA50" t="str" cm="1">
        <f t="array" ref="AA50">IF(RawSalesTable5[[#This Row],[Lookup_Status]]="Missing Product","",_xlfn.IFS(RawSalesTable5[[#This Row],[Net_Revenue]]&gt;=20000,"High",RawSalesTable5[[#This Row],[Net_Revenue]]&gt;=10000,"Medium",TRUE,"Low"))</f>
        <v>Low</v>
      </c>
    </row>
    <row r="51" spans="1:27">
      <c r="A51" t="s">
        <v>181</v>
      </c>
      <c r="B51" s="15">
        <v>45852</v>
      </c>
      <c r="C51" s="15">
        <v>45860</v>
      </c>
      <c r="D51" t="s">
        <v>123</v>
      </c>
      <c r="E51" t="s">
        <v>92</v>
      </c>
      <c r="F51" t="s">
        <v>121</v>
      </c>
      <c r="G51" t="s">
        <v>108</v>
      </c>
      <c r="H51" t="s">
        <v>86</v>
      </c>
      <c r="I51" s="17">
        <v>2</v>
      </c>
      <c r="J51" s="16">
        <v>0</v>
      </c>
      <c r="K51" t="s">
        <v>140</v>
      </c>
      <c r="L51" t="s">
        <v>89</v>
      </c>
      <c r="M51" s="17">
        <v>3</v>
      </c>
      <c r="N51" t="str" cm="1">
        <f t="array" ref="N51">_xlfn.XLOOKUP(RawSalesTable5[[#This Row],[Product_Code]],ProductLookupTable[[#All],[Product_Code]],ProductLookupTable[[#All],[Product_Name]],"NOT FOUND")</f>
        <v>HD Webcam</v>
      </c>
      <c r="O51" t="str" cm="1">
        <f t="array" ref="O51">_xlfn.XLOOKUP(RawSalesTable5[[#This Row],[Product_Code]],ProductLookupTable[[#All],[Product_Code]],ProductLookupTable[[#All],[Category]],"NOT FOUND")</f>
        <v>Accessories</v>
      </c>
      <c r="P51" cm="1">
        <f t="array" ref="P51">_xlfn.XLOOKUP(RawSalesTable5[[#This Row],[Product_Code]],ProductLookupTable[[#All],[Product_Code]],ProductLookupTable[[#All],[Unit_Price]],"NOT FOUND")</f>
        <v>2899</v>
      </c>
      <c r="Q51" t="str">
        <f>IF(COUNTIF(ProductLookupTable[Product_Code],RawSalesTable5[[#This Row],[Product_Code]])=0,"Missing Product","OK")</f>
        <v>OK</v>
      </c>
      <c r="R51" cm="1">
        <f t="array" ref="R51">_xlfn.XLOOKUP(RawSalesTable5[[#This Row],[Product_Code]],ProductLookupTable[[#All],[Product_Code]],ProductLookupTable[[#All],[Unit_Cost]],"NOT FOUND")</f>
        <v>1700</v>
      </c>
      <c r="S51">
        <f>IFERROR(RawSalesTable5[[#This Row],[Quantity]]*RawSalesTable5[[#This Row],[Unit_Price]],"NOT FOUND")</f>
        <v>5798</v>
      </c>
      <c r="T51">
        <f>IFERROR(RawSalesTable5[[#This Row],[Gross_Revenue]]*RawSalesTable5[[#This Row],[Discount_Pct]],"NOT FOUND")</f>
        <v>0</v>
      </c>
      <c r="U51">
        <f>IFERROR(RawSalesTable5[[#This Row],[Gross_Revenue]]-RawSalesTable5[[#This Row],[Discount_Value]],"NOT FOUND")</f>
        <v>5798</v>
      </c>
      <c r="V51">
        <f>IFERROR(RawSalesTable5[[#This Row],[Quantity]]*RawSalesTable5[[#This Row],[Unit_Cost]],"NOT FOUND")</f>
        <v>3400</v>
      </c>
      <c r="W51">
        <f>IFERROR(RawSalesTable5[[#This Row],[Net_Revenue]]-RawSalesTable5[[#This Row],[Cost]],"NOT FOUND")</f>
        <v>2398</v>
      </c>
      <c r="X51" s="27">
        <f>IF(RawSalesTable5[[#This Row],[Lookup_Status]]="Missing Product","",IFERROR(RawSalesTable5[[#This Row],[Profit]]/RawSalesTable5[[#This Row],[Net_Revenue]],0))</f>
        <v>0.41359089341152122</v>
      </c>
      <c r="Y51">
        <f>RawSalesTable5[[#This Row],[Ship_Date]]-RawSalesTable5[[#This Row],[Order_Date]]</f>
        <v>8</v>
      </c>
      <c r="Z51" s="28">
        <f>DATE(YEAR(RawSalesTable5[[#This Row],[Order_Date]]),MONTH(RawSalesTable5[[#This Row],[Order_Date]]),1)</f>
        <v>45839</v>
      </c>
      <c r="AA51" t="str" cm="1">
        <f t="array" ref="AA51">IF(RawSalesTable5[[#This Row],[Lookup_Status]]="Missing Product","",_xlfn.IFS(RawSalesTable5[[#This Row],[Net_Revenue]]&gt;=20000,"High",RawSalesTable5[[#This Row],[Net_Revenue]]&gt;=10000,"Medium",TRUE,"Low"))</f>
        <v>Low</v>
      </c>
    </row>
    <row r="52" spans="1:27">
      <c r="A52" t="s">
        <v>182</v>
      </c>
      <c r="B52" s="15">
        <v>45675</v>
      </c>
      <c r="C52" s="15">
        <v>45678</v>
      </c>
      <c r="D52" t="s">
        <v>83</v>
      </c>
      <c r="E52" t="s">
        <v>98</v>
      </c>
      <c r="F52" t="s">
        <v>107</v>
      </c>
      <c r="G52" t="s">
        <v>108</v>
      </c>
      <c r="H52" t="s">
        <v>87</v>
      </c>
      <c r="I52" s="17">
        <v>2</v>
      </c>
      <c r="J52" s="16">
        <v>0.05</v>
      </c>
      <c r="K52" t="s">
        <v>112</v>
      </c>
      <c r="L52" t="s">
        <v>89</v>
      </c>
      <c r="M52" s="17">
        <v>5</v>
      </c>
      <c r="N52" t="str" cm="1">
        <f t="array" ref="N52">_xlfn.XLOOKUP(RawSalesTable5[[#This Row],[Product_Code]],ProductLookupTable[[#All],[Product_Code]],ProductLookupTable[[#All],[Product_Name]],"NOT FOUND")</f>
        <v>Bluetooth Speaker</v>
      </c>
      <c r="O52" t="str" cm="1">
        <f t="array" ref="O52">_xlfn.XLOOKUP(RawSalesTable5[[#This Row],[Product_Code]],ProductLookupTable[[#All],[Product_Code]],ProductLookupTable[[#All],[Category]],"NOT FOUND")</f>
        <v>Audio</v>
      </c>
      <c r="P52" cm="1">
        <f t="array" ref="P52">_xlfn.XLOOKUP(RawSalesTable5[[#This Row],[Product_Code]],ProductLookupTable[[#All],[Product_Code]],ProductLookupTable[[#All],[Unit_Price]],"NOT FOUND")</f>
        <v>2799</v>
      </c>
      <c r="Q52" t="str">
        <f>IF(COUNTIF(ProductLookupTable[Product_Code],RawSalesTable5[[#This Row],[Product_Code]])=0,"Missing Product","OK")</f>
        <v>OK</v>
      </c>
      <c r="R52" cm="1">
        <f t="array" ref="R52">_xlfn.XLOOKUP(RawSalesTable5[[#This Row],[Product_Code]],ProductLookupTable[[#All],[Product_Code]],ProductLookupTable[[#All],[Unit_Cost]],"NOT FOUND")</f>
        <v>1650</v>
      </c>
      <c r="S52">
        <f>IFERROR(RawSalesTable5[[#This Row],[Quantity]]*RawSalesTable5[[#This Row],[Unit_Price]],"NOT FOUND")</f>
        <v>5598</v>
      </c>
      <c r="T52">
        <f>IFERROR(RawSalesTable5[[#This Row],[Gross_Revenue]]*RawSalesTable5[[#This Row],[Discount_Pct]],"NOT FOUND")</f>
        <v>279.90000000000003</v>
      </c>
      <c r="U52">
        <f>IFERROR(RawSalesTable5[[#This Row],[Gross_Revenue]]-RawSalesTable5[[#This Row],[Discount_Value]],"NOT FOUND")</f>
        <v>5318.1</v>
      </c>
      <c r="V52">
        <f>IFERROR(RawSalesTable5[[#This Row],[Quantity]]*RawSalesTable5[[#This Row],[Unit_Cost]],"NOT FOUND")</f>
        <v>3300</v>
      </c>
      <c r="W52">
        <f>IFERROR(RawSalesTable5[[#This Row],[Net_Revenue]]-RawSalesTable5[[#This Row],[Cost]],"NOT FOUND")</f>
        <v>2018.1000000000004</v>
      </c>
      <c r="X52" s="27">
        <f>IF(RawSalesTable5[[#This Row],[Lookup_Status]]="Missing Product","",IFERROR(RawSalesTable5[[#This Row],[Profit]]/RawSalesTable5[[#This Row],[Net_Revenue]],0))</f>
        <v>0.37947763298922554</v>
      </c>
      <c r="Y52">
        <f>RawSalesTable5[[#This Row],[Ship_Date]]-RawSalesTable5[[#This Row],[Order_Date]]</f>
        <v>3</v>
      </c>
      <c r="Z52" s="28">
        <f>DATE(YEAR(RawSalesTable5[[#This Row],[Order_Date]]),MONTH(RawSalesTable5[[#This Row],[Order_Date]]),1)</f>
        <v>45658</v>
      </c>
      <c r="AA52" t="str" cm="1">
        <f t="array" ref="AA52">IF(RawSalesTable5[[#This Row],[Lookup_Status]]="Missing Product","",_xlfn.IFS(RawSalesTable5[[#This Row],[Net_Revenue]]&gt;=20000,"High",RawSalesTable5[[#This Row],[Net_Revenue]]&gt;=10000,"Medium",TRUE,"Low"))</f>
        <v>Low</v>
      </c>
    </row>
    <row r="53" spans="1:27">
      <c r="A53" t="s">
        <v>183</v>
      </c>
      <c r="B53" s="15">
        <v>45679</v>
      </c>
      <c r="C53" s="15">
        <v>45685</v>
      </c>
      <c r="D53" t="s">
        <v>114</v>
      </c>
      <c r="E53" t="s">
        <v>101</v>
      </c>
      <c r="F53" t="s">
        <v>118</v>
      </c>
      <c r="G53" t="s">
        <v>86</v>
      </c>
      <c r="H53" t="s">
        <v>86</v>
      </c>
      <c r="I53" s="17">
        <v>4</v>
      </c>
      <c r="J53" s="16">
        <v>0</v>
      </c>
      <c r="K53" t="s">
        <v>95</v>
      </c>
      <c r="L53" t="s">
        <v>89</v>
      </c>
      <c r="M53" s="17">
        <v>5</v>
      </c>
      <c r="N53" t="str" cm="1">
        <f t="array" ref="N53">_xlfn.XLOOKUP(RawSalesTable5[[#This Row],[Product_Code]],ProductLookupTable[[#All],[Product_Code]],ProductLookupTable[[#All],[Product_Name]],"NOT FOUND")</f>
        <v>Mechanical Keyboard</v>
      </c>
      <c r="O53" t="str" cm="1">
        <f t="array" ref="O53">_xlfn.XLOOKUP(RawSalesTable5[[#This Row],[Product_Code]],ProductLookupTable[[#All],[Product_Code]],ProductLookupTable[[#All],[Category]],"NOT FOUND")</f>
        <v>Accessories</v>
      </c>
      <c r="P53" cm="1">
        <f t="array" ref="P53">_xlfn.XLOOKUP(RawSalesTable5[[#This Row],[Product_Code]],ProductLookupTable[[#All],[Product_Code]],ProductLookupTable[[#All],[Unit_Price]],"NOT FOUND")</f>
        <v>2499</v>
      </c>
      <c r="Q53" t="str">
        <f>IF(COUNTIF(ProductLookupTable[Product_Code],RawSalesTable5[[#This Row],[Product_Code]])=0,"Missing Product","OK")</f>
        <v>OK</v>
      </c>
      <c r="R53" cm="1">
        <f t="array" ref="R53">_xlfn.XLOOKUP(RawSalesTable5[[#This Row],[Product_Code]],ProductLookupTable[[#All],[Product_Code]],ProductLookupTable[[#All],[Unit_Cost]],"NOT FOUND")</f>
        <v>1450</v>
      </c>
      <c r="S53">
        <f>IFERROR(RawSalesTable5[[#This Row],[Quantity]]*RawSalesTable5[[#This Row],[Unit_Price]],"NOT FOUND")</f>
        <v>9996</v>
      </c>
      <c r="T53">
        <f>IFERROR(RawSalesTable5[[#This Row],[Gross_Revenue]]*RawSalesTable5[[#This Row],[Discount_Pct]],"NOT FOUND")</f>
        <v>0</v>
      </c>
      <c r="U53">
        <f>IFERROR(RawSalesTable5[[#This Row],[Gross_Revenue]]-RawSalesTable5[[#This Row],[Discount_Value]],"NOT FOUND")</f>
        <v>9996</v>
      </c>
      <c r="V53">
        <f>IFERROR(RawSalesTable5[[#This Row],[Quantity]]*RawSalesTable5[[#This Row],[Unit_Cost]],"NOT FOUND")</f>
        <v>5800</v>
      </c>
      <c r="W53">
        <f>IFERROR(RawSalesTable5[[#This Row],[Net_Revenue]]-RawSalesTable5[[#This Row],[Cost]],"NOT FOUND")</f>
        <v>4196</v>
      </c>
      <c r="X53" s="27">
        <f>IF(RawSalesTable5[[#This Row],[Lookup_Status]]="Missing Product","",IFERROR(RawSalesTable5[[#This Row],[Profit]]/RawSalesTable5[[#This Row],[Net_Revenue]],0))</f>
        <v>0.41976790716286516</v>
      </c>
      <c r="Y53">
        <f>RawSalesTable5[[#This Row],[Ship_Date]]-RawSalesTable5[[#This Row],[Order_Date]]</f>
        <v>6</v>
      </c>
      <c r="Z53" s="28">
        <f>DATE(YEAR(RawSalesTable5[[#This Row],[Order_Date]]),MONTH(RawSalesTable5[[#This Row],[Order_Date]]),1)</f>
        <v>45658</v>
      </c>
      <c r="AA53" t="str" cm="1">
        <f t="array" ref="AA53">IF(RawSalesTable5[[#This Row],[Lookup_Status]]="Missing Product","",_xlfn.IFS(RawSalesTable5[[#This Row],[Net_Revenue]]&gt;=20000,"High",RawSalesTable5[[#This Row],[Net_Revenue]]&gt;=10000,"Medium",TRUE,"Low"))</f>
        <v>Low</v>
      </c>
    </row>
    <row r="54" spans="1:27">
      <c r="A54" t="s">
        <v>184</v>
      </c>
      <c r="B54" s="15">
        <v>46012</v>
      </c>
      <c r="C54" s="15">
        <v>46014</v>
      </c>
      <c r="D54" t="s">
        <v>157</v>
      </c>
      <c r="E54" t="s">
        <v>106</v>
      </c>
      <c r="F54" t="s">
        <v>85</v>
      </c>
      <c r="G54" t="s">
        <v>94</v>
      </c>
      <c r="H54" t="s">
        <v>103</v>
      </c>
      <c r="I54" s="17">
        <v>1</v>
      </c>
      <c r="J54" s="16">
        <v>0.05</v>
      </c>
      <c r="K54" t="s">
        <v>140</v>
      </c>
      <c r="L54" t="s">
        <v>89</v>
      </c>
      <c r="M54" s="17">
        <v>5</v>
      </c>
      <c r="N54" t="str" cm="1">
        <f t="array" ref="N54">_xlfn.XLOOKUP(RawSalesTable5[[#This Row],[Product_Code]],ProductLookupTable[[#All],[Product_Code]],ProductLookupTable[[#All],[Product_Name]],"NOT FOUND")</f>
        <v>Ergonomic Chair</v>
      </c>
      <c r="O54" t="str" cm="1">
        <f t="array" ref="O54">_xlfn.XLOOKUP(RawSalesTable5[[#This Row],[Product_Code]],ProductLookupTable[[#All],[Product_Code]],ProductLookupTable[[#All],[Category]],"NOT FOUND")</f>
        <v>Furniture</v>
      </c>
      <c r="P54" cm="1">
        <f t="array" ref="P54">_xlfn.XLOOKUP(RawSalesTable5[[#This Row],[Product_Code]],ProductLookupTable[[#All],[Product_Code]],ProductLookupTable[[#All],[Unit_Price]],"NOT FOUND")</f>
        <v>10499</v>
      </c>
      <c r="Q54" t="str">
        <f>IF(COUNTIF(ProductLookupTable[Product_Code],RawSalesTable5[[#This Row],[Product_Code]])=0,"Missing Product","OK")</f>
        <v>OK</v>
      </c>
      <c r="R54" cm="1">
        <f t="array" ref="R54">_xlfn.XLOOKUP(RawSalesTable5[[#This Row],[Product_Code]],ProductLookupTable[[#All],[Product_Code]],ProductLookupTable[[#All],[Unit_Cost]],"NOT FOUND")</f>
        <v>7600</v>
      </c>
      <c r="S54">
        <f>IFERROR(RawSalesTable5[[#This Row],[Quantity]]*RawSalesTable5[[#This Row],[Unit_Price]],"NOT FOUND")</f>
        <v>10499</v>
      </c>
      <c r="T54">
        <f>IFERROR(RawSalesTable5[[#This Row],[Gross_Revenue]]*RawSalesTable5[[#This Row],[Discount_Pct]],"NOT FOUND")</f>
        <v>524.95000000000005</v>
      </c>
      <c r="U54">
        <f>IFERROR(RawSalesTable5[[#This Row],[Gross_Revenue]]-RawSalesTable5[[#This Row],[Discount_Value]],"NOT FOUND")</f>
        <v>9974.0499999999993</v>
      </c>
      <c r="V54">
        <f>IFERROR(RawSalesTable5[[#This Row],[Quantity]]*RawSalesTable5[[#This Row],[Unit_Cost]],"NOT FOUND")</f>
        <v>7600</v>
      </c>
      <c r="W54">
        <f>IFERROR(RawSalesTable5[[#This Row],[Net_Revenue]]-RawSalesTable5[[#This Row],[Cost]],"NOT FOUND")</f>
        <v>2374.0499999999993</v>
      </c>
      <c r="X54" s="27">
        <f>IF(RawSalesTable5[[#This Row],[Lookup_Status]]="Missing Product","",IFERROR(RawSalesTable5[[#This Row],[Profit]]/RawSalesTable5[[#This Row],[Net_Revenue]],0))</f>
        <v>0.23802266882560238</v>
      </c>
      <c r="Y54">
        <f>RawSalesTable5[[#This Row],[Ship_Date]]-RawSalesTable5[[#This Row],[Order_Date]]</f>
        <v>2</v>
      </c>
      <c r="Z54" s="28">
        <f>DATE(YEAR(RawSalesTable5[[#This Row],[Order_Date]]),MONTH(RawSalesTable5[[#This Row],[Order_Date]]),1)</f>
        <v>45992</v>
      </c>
      <c r="AA54" t="str" cm="1">
        <f t="array" ref="AA54">IF(RawSalesTable5[[#This Row],[Lookup_Status]]="Missing Product","",_xlfn.IFS(RawSalesTable5[[#This Row],[Net_Revenue]]&gt;=20000,"High",RawSalesTable5[[#This Row],[Net_Revenue]]&gt;=10000,"Medium",TRUE,"Low"))</f>
        <v>Low</v>
      </c>
    </row>
    <row r="55" spans="1:27">
      <c r="A55" t="s">
        <v>185</v>
      </c>
      <c r="B55" s="15">
        <v>45803</v>
      </c>
      <c r="C55" s="15">
        <v>45811</v>
      </c>
      <c r="D55" t="s">
        <v>212</v>
      </c>
      <c r="E55" t="s">
        <v>111</v>
      </c>
      <c r="F55" t="s">
        <v>121</v>
      </c>
      <c r="G55" t="s">
        <v>108</v>
      </c>
      <c r="H55" t="s">
        <v>87</v>
      </c>
      <c r="I55" s="17">
        <v>1</v>
      </c>
      <c r="J55" s="16">
        <v>0.05</v>
      </c>
      <c r="K55" t="s">
        <v>95</v>
      </c>
      <c r="L55" t="s">
        <v>89</v>
      </c>
      <c r="M55" s="17">
        <v>5</v>
      </c>
      <c r="N55" t="str" cm="1">
        <f t="array" ref="N55">_xlfn.XLOOKUP(RawSalesTable5[[#This Row],[Product_Code]],ProductLookupTable[[#All],[Product_Code]],ProductLookupTable[[#All],[Product_Name]],"NOT FOUND")</f>
        <v>HD Webcam</v>
      </c>
      <c r="O55" t="str" cm="1">
        <f t="array" ref="O55">_xlfn.XLOOKUP(RawSalesTable5[[#This Row],[Product_Code]],ProductLookupTable[[#All],[Product_Code]],ProductLookupTable[[#All],[Category]],"NOT FOUND")</f>
        <v>Accessories</v>
      </c>
      <c r="P55" cm="1">
        <f t="array" ref="P55">_xlfn.XLOOKUP(RawSalesTable5[[#This Row],[Product_Code]],ProductLookupTable[[#All],[Product_Code]],ProductLookupTable[[#All],[Unit_Price]],"NOT FOUND")</f>
        <v>2899</v>
      </c>
      <c r="Q55" t="str">
        <f>IF(COUNTIF(ProductLookupTable[Product_Code],RawSalesTable5[[#This Row],[Product_Code]])=0,"Missing Product","OK")</f>
        <v>OK</v>
      </c>
      <c r="R55" cm="1">
        <f t="array" ref="R55">_xlfn.XLOOKUP(RawSalesTable5[[#This Row],[Product_Code]],ProductLookupTable[[#All],[Product_Code]],ProductLookupTable[[#All],[Unit_Cost]],"NOT FOUND")</f>
        <v>1700</v>
      </c>
      <c r="S55">
        <f>IFERROR(RawSalesTable5[[#This Row],[Quantity]]*RawSalesTable5[[#This Row],[Unit_Price]],"NOT FOUND")</f>
        <v>2899</v>
      </c>
      <c r="T55">
        <f>IFERROR(RawSalesTable5[[#This Row],[Gross_Revenue]]*RawSalesTable5[[#This Row],[Discount_Pct]],"NOT FOUND")</f>
        <v>144.95000000000002</v>
      </c>
      <c r="U55">
        <f>IFERROR(RawSalesTable5[[#This Row],[Gross_Revenue]]-RawSalesTable5[[#This Row],[Discount_Value]],"NOT FOUND")</f>
        <v>2754.05</v>
      </c>
      <c r="V55">
        <f>IFERROR(RawSalesTable5[[#This Row],[Quantity]]*RawSalesTable5[[#This Row],[Unit_Cost]],"NOT FOUND")</f>
        <v>1700</v>
      </c>
      <c r="W55">
        <f>IFERROR(RawSalesTable5[[#This Row],[Net_Revenue]]-RawSalesTable5[[#This Row],[Cost]],"NOT FOUND")</f>
        <v>1054.0500000000002</v>
      </c>
      <c r="X55" s="27">
        <f>IF(RawSalesTable5[[#This Row],[Lookup_Status]]="Missing Product","",IFERROR(RawSalesTable5[[#This Row],[Profit]]/RawSalesTable5[[#This Row],[Net_Revenue]],0))</f>
        <v>0.38272725622265397</v>
      </c>
      <c r="Y55">
        <f>RawSalesTable5[[#This Row],[Ship_Date]]-RawSalesTable5[[#This Row],[Order_Date]]</f>
        <v>8</v>
      </c>
      <c r="Z55" s="28">
        <f>DATE(YEAR(RawSalesTable5[[#This Row],[Order_Date]]),MONTH(RawSalesTable5[[#This Row],[Order_Date]]),1)</f>
        <v>45778</v>
      </c>
      <c r="AA55" t="str" cm="1">
        <f t="array" ref="AA55">IF(RawSalesTable5[[#This Row],[Lookup_Status]]="Missing Product","",_xlfn.IFS(RawSalesTable5[[#This Row],[Net_Revenue]]&gt;=20000,"High",RawSalesTable5[[#This Row],[Net_Revenue]]&gt;=10000,"Medium",TRUE,"Low"))</f>
        <v>Low</v>
      </c>
    </row>
    <row r="56" spans="1:27">
      <c r="A56" t="s">
        <v>186</v>
      </c>
      <c r="B56" s="15">
        <v>45981</v>
      </c>
      <c r="C56" s="15">
        <v>45986</v>
      </c>
      <c r="D56" t="s">
        <v>123</v>
      </c>
      <c r="E56" t="s">
        <v>84</v>
      </c>
      <c r="F56" t="s">
        <v>115</v>
      </c>
      <c r="G56" t="s">
        <v>125</v>
      </c>
      <c r="H56" t="s">
        <v>86</v>
      </c>
      <c r="I56" s="17">
        <v>2</v>
      </c>
      <c r="J56" s="16">
        <v>0.2</v>
      </c>
      <c r="K56" t="s">
        <v>95</v>
      </c>
      <c r="L56" t="s">
        <v>89</v>
      </c>
      <c r="M56" s="17">
        <v>5</v>
      </c>
      <c r="N56" t="str" cm="1">
        <f t="array" ref="N56">_xlfn.XLOOKUP(RawSalesTable5[[#This Row],[Product_Code]],ProductLookupTable[[#All],[Product_Code]],ProductLookupTable[[#All],[Product_Name]],"NOT FOUND")</f>
        <v>USB-C Hub</v>
      </c>
      <c r="O56" t="str" cm="1">
        <f t="array" ref="O56">_xlfn.XLOOKUP(RawSalesTable5[[#This Row],[Product_Code]],ProductLookupTable[[#All],[Product_Code]],ProductLookupTable[[#All],[Category]],"NOT FOUND")</f>
        <v>Accessories</v>
      </c>
      <c r="P56" cm="1">
        <f t="array" ref="P56">_xlfn.XLOOKUP(RawSalesTable5[[#This Row],[Product_Code]],ProductLookupTable[[#All],[Product_Code]],ProductLookupTable[[#All],[Unit_Price]],"NOT FOUND")</f>
        <v>1599</v>
      </c>
      <c r="Q56" t="str">
        <f>IF(COUNTIF(ProductLookupTable[Product_Code],RawSalesTable5[[#This Row],[Product_Code]])=0,"Missing Product","OK")</f>
        <v>OK</v>
      </c>
      <c r="R56" cm="1">
        <f t="array" ref="R56">_xlfn.XLOOKUP(RawSalesTable5[[#This Row],[Product_Code]],ProductLookupTable[[#All],[Product_Code]],ProductLookupTable[[#All],[Unit_Cost]],"NOT FOUND")</f>
        <v>870</v>
      </c>
      <c r="S56">
        <f>IFERROR(RawSalesTable5[[#This Row],[Quantity]]*RawSalesTable5[[#This Row],[Unit_Price]],"NOT FOUND")</f>
        <v>3198</v>
      </c>
      <c r="T56">
        <f>IFERROR(RawSalesTable5[[#This Row],[Gross_Revenue]]*RawSalesTable5[[#This Row],[Discount_Pct]],"NOT FOUND")</f>
        <v>639.6</v>
      </c>
      <c r="U56">
        <f>IFERROR(RawSalesTable5[[#This Row],[Gross_Revenue]]-RawSalesTable5[[#This Row],[Discount_Value]],"NOT FOUND")</f>
        <v>2558.4</v>
      </c>
      <c r="V56">
        <f>IFERROR(RawSalesTable5[[#This Row],[Quantity]]*RawSalesTable5[[#This Row],[Unit_Cost]],"NOT FOUND")</f>
        <v>1740</v>
      </c>
      <c r="W56">
        <f>IFERROR(RawSalesTable5[[#This Row],[Net_Revenue]]-RawSalesTable5[[#This Row],[Cost]],"NOT FOUND")</f>
        <v>818.40000000000009</v>
      </c>
      <c r="X56" s="27">
        <f>IF(RawSalesTable5[[#This Row],[Lookup_Status]]="Missing Product","",IFERROR(RawSalesTable5[[#This Row],[Profit]]/RawSalesTable5[[#This Row],[Net_Revenue]],0))</f>
        <v>0.31988742964352723</v>
      </c>
      <c r="Y56">
        <f>RawSalesTable5[[#This Row],[Ship_Date]]-RawSalesTable5[[#This Row],[Order_Date]]</f>
        <v>5</v>
      </c>
      <c r="Z56" s="28">
        <f>DATE(YEAR(RawSalesTable5[[#This Row],[Order_Date]]),MONTH(RawSalesTable5[[#This Row],[Order_Date]]),1)</f>
        <v>45962</v>
      </c>
      <c r="AA56" t="str" cm="1">
        <f t="array" ref="AA56">IF(RawSalesTable5[[#This Row],[Lookup_Status]]="Missing Product","",_xlfn.IFS(RawSalesTable5[[#This Row],[Net_Revenue]]&gt;=20000,"High",RawSalesTable5[[#This Row],[Net_Revenue]]&gt;=10000,"Medium",TRUE,"Low"))</f>
        <v>Low</v>
      </c>
    </row>
    <row r="57" spans="1:27">
      <c r="A57" t="s">
        <v>187</v>
      </c>
      <c r="B57" s="15">
        <v>46020</v>
      </c>
      <c r="C57" s="15">
        <v>46026</v>
      </c>
      <c r="D57" t="s">
        <v>83</v>
      </c>
      <c r="E57" t="s">
        <v>92</v>
      </c>
      <c r="F57" t="s">
        <v>107</v>
      </c>
      <c r="G57" t="s">
        <v>94</v>
      </c>
      <c r="H57" t="s">
        <v>86</v>
      </c>
      <c r="I57" s="17">
        <v>1</v>
      </c>
      <c r="J57" s="16">
        <v>0</v>
      </c>
      <c r="K57" t="s">
        <v>119</v>
      </c>
      <c r="L57" t="s">
        <v>89</v>
      </c>
      <c r="M57" s="17">
        <v>5</v>
      </c>
      <c r="N57" t="str" cm="1">
        <f t="array" ref="N57">_xlfn.XLOOKUP(RawSalesTable5[[#This Row],[Product_Code]],ProductLookupTable[[#All],[Product_Code]],ProductLookupTable[[#All],[Product_Name]],"NOT FOUND")</f>
        <v>Bluetooth Speaker</v>
      </c>
      <c r="O57" t="str" cm="1">
        <f t="array" ref="O57">_xlfn.XLOOKUP(RawSalesTable5[[#This Row],[Product_Code]],ProductLookupTable[[#All],[Product_Code]],ProductLookupTable[[#All],[Category]],"NOT FOUND")</f>
        <v>Audio</v>
      </c>
      <c r="P57" cm="1">
        <f t="array" ref="P57">_xlfn.XLOOKUP(RawSalesTable5[[#This Row],[Product_Code]],ProductLookupTable[[#All],[Product_Code]],ProductLookupTable[[#All],[Unit_Price]],"NOT FOUND")</f>
        <v>2799</v>
      </c>
      <c r="Q57" t="str">
        <f>IF(COUNTIF(ProductLookupTable[Product_Code],RawSalesTable5[[#This Row],[Product_Code]])=0,"Missing Product","OK")</f>
        <v>OK</v>
      </c>
      <c r="R57" cm="1">
        <f t="array" ref="R57">_xlfn.XLOOKUP(RawSalesTable5[[#This Row],[Product_Code]],ProductLookupTable[[#All],[Product_Code]],ProductLookupTable[[#All],[Unit_Cost]],"NOT FOUND")</f>
        <v>1650</v>
      </c>
      <c r="S57">
        <f>IFERROR(RawSalesTable5[[#This Row],[Quantity]]*RawSalesTable5[[#This Row],[Unit_Price]],"NOT FOUND")</f>
        <v>2799</v>
      </c>
      <c r="T57">
        <f>IFERROR(RawSalesTable5[[#This Row],[Gross_Revenue]]*RawSalesTable5[[#This Row],[Discount_Pct]],"NOT FOUND")</f>
        <v>0</v>
      </c>
      <c r="U57">
        <f>IFERROR(RawSalesTable5[[#This Row],[Gross_Revenue]]-RawSalesTable5[[#This Row],[Discount_Value]],"NOT FOUND")</f>
        <v>2799</v>
      </c>
      <c r="V57">
        <f>IFERROR(RawSalesTable5[[#This Row],[Quantity]]*RawSalesTable5[[#This Row],[Unit_Cost]],"NOT FOUND")</f>
        <v>1650</v>
      </c>
      <c r="W57">
        <f>IFERROR(RawSalesTable5[[#This Row],[Net_Revenue]]-RawSalesTable5[[#This Row],[Cost]],"NOT FOUND")</f>
        <v>1149</v>
      </c>
      <c r="X57" s="27">
        <f>IF(RawSalesTable5[[#This Row],[Lookup_Status]]="Missing Product","",IFERROR(RawSalesTable5[[#This Row],[Profit]]/RawSalesTable5[[#This Row],[Net_Revenue]],0))</f>
        <v>0.41050375133976419</v>
      </c>
      <c r="Y57">
        <f>RawSalesTable5[[#This Row],[Ship_Date]]-RawSalesTable5[[#This Row],[Order_Date]]</f>
        <v>6</v>
      </c>
      <c r="Z57" s="28">
        <f>DATE(YEAR(RawSalesTable5[[#This Row],[Order_Date]]),MONTH(RawSalesTable5[[#This Row],[Order_Date]]),1)</f>
        <v>45992</v>
      </c>
      <c r="AA57" t="str" cm="1">
        <f t="array" ref="AA57">IF(RawSalesTable5[[#This Row],[Lookup_Status]]="Missing Product","",_xlfn.IFS(RawSalesTable5[[#This Row],[Net_Revenue]]&gt;=20000,"High",RawSalesTable5[[#This Row],[Net_Revenue]]&gt;=10000,"Medium",TRUE,"Low"))</f>
        <v>Low</v>
      </c>
    </row>
    <row r="58" spans="1:27">
      <c r="A58" t="s">
        <v>188</v>
      </c>
      <c r="B58" s="15">
        <v>45919</v>
      </c>
      <c r="C58" s="15">
        <v>45924</v>
      </c>
      <c r="D58" t="s">
        <v>114</v>
      </c>
      <c r="E58" t="s">
        <v>98</v>
      </c>
      <c r="F58" t="s">
        <v>118</v>
      </c>
      <c r="G58" t="s">
        <v>125</v>
      </c>
      <c r="H58" t="s">
        <v>87</v>
      </c>
      <c r="I58" s="17">
        <v>5</v>
      </c>
      <c r="J58" s="16">
        <v>0.1</v>
      </c>
      <c r="K58" t="s">
        <v>88</v>
      </c>
      <c r="L58" t="s">
        <v>89</v>
      </c>
      <c r="M58" s="17">
        <v>3</v>
      </c>
      <c r="N58" t="str" cm="1">
        <f t="array" ref="N58">_xlfn.XLOOKUP(RawSalesTable5[[#This Row],[Product_Code]],ProductLookupTable[[#All],[Product_Code]],ProductLookupTable[[#All],[Product_Name]],"NOT FOUND")</f>
        <v>Mechanical Keyboard</v>
      </c>
      <c r="O58" t="str" cm="1">
        <f t="array" ref="O58">_xlfn.XLOOKUP(RawSalesTable5[[#This Row],[Product_Code]],ProductLookupTable[[#All],[Product_Code]],ProductLookupTable[[#All],[Category]],"NOT FOUND")</f>
        <v>Accessories</v>
      </c>
      <c r="P58" cm="1">
        <f t="array" ref="P58">_xlfn.XLOOKUP(RawSalesTable5[[#This Row],[Product_Code]],ProductLookupTable[[#All],[Product_Code]],ProductLookupTable[[#All],[Unit_Price]],"NOT FOUND")</f>
        <v>2499</v>
      </c>
      <c r="Q58" t="str">
        <f>IF(COUNTIF(ProductLookupTable[Product_Code],RawSalesTable5[[#This Row],[Product_Code]])=0,"Missing Product","OK")</f>
        <v>OK</v>
      </c>
      <c r="R58" cm="1">
        <f t="array" ref="R58">_xlfn.XLOOKUP(RawSalesTable5[[#This Row],[Product_Code]],ProductLookupTable[[#All],[Product_Code]],ProductLookupTable[[#All],[Unit_Cost]],"NOT FOUND")</f>
        <v>1450</v>
      </c>
      <c r="S58">
        <f>IFERROR(RawSalesTable5[[#This Row],[Quantity]]*RawSalesTable5[[#This Row],[Unit_Price]],"NOT FOUND")</f>
        <v>12495</v>
      </c>
      <c r="T58">
        <f>IFERROR(RawSalesTable5[[#This Row],[Gross_Revenue]]*RawSalesTable5[[#This Row],[Discount_Pct]],"NOT FOUND")</f>
        <v>1249.5</v>
      </c>
      <c r="U58">
        <f>IFERROR(RawSalesTable5[[#This Row],[Gross_Revenue]]-RawSalesTable5[[#This Row],[Discount_Value]],"NOT FOUND")</f>
        <v>11245.5</v>
      </c>
      <c r="V58">
        <f>IFERROR(RawSalesTable5[[#This Row],[Quantity]]*RawSalesTable5[[#This Row],[Unit_Cost]],"NOT FOUND")</f>
        <v>7250</v>
      </c>
      <c r="W58">
        <f>IFERROR(RawSalesTable5[[#This Row],[Net_Revenue]]-RawSalesTable5[[#This Row],[Cost]],"NOT FOUND")</f>
        <v>3995.5</v>
      </c>
      <c r="X58" s="27">
        <f>IF(RawSalesTable5[[#This Row],[Lookup_Status]]="Missing Product","",IFERROR(RawSalesTable5[[#This Row],[Profit]]/RawSalesTable5[[#This Row],[Net_Revenue]],0))</f>
        <v>0.35529767462540573</v>
      </c>
      <c r="Y58">
        <f>RawSalesTable5[[#This Row],[Ship_Date]]-RawSalesTable5[[#This Row],[Order_Date]]</f>
        <v>5</v>
      </c>
      <c r="Z58" s="28">
        <f>DATE(YEAR(RawSalesTable5[[#This Row],[Order_Date]]),MONTH(RawSalesTable5[[#This Row],[Order_Date]]),1)</f>
        <v>45901</v>
      </c>
      <c r="AA58" t="str" cm="1">
        <f t="array" ref="AA58">IF(RawSalesTable5[[#This Row],[Lookup_Status]]="Missing Product","",_xlfn.IFS(RawSalesTable5[[#This Row],[Net_Revenue]]&gt;=20000,"High",RawSalesTable5[[#This Row],[Net_Revenue]]&gt;=10000,"Medium",TRUE,"Low"))</f>
        <v>Medium</v>
      </c>
    </row>
    <row r="59" spans="1:27">
      <c r="A59" t="s">
        <v>189</v>
      </c>
      <c r="B59" s="15">
        <v>45910</v>
      </c>
      <c r="C59" s="15">
        <v>45912</v>
      </c>
      <c r="D59" t="s">
        <v>157</v>
      </c>
      <c r="E59" t="s">
        <v>101</v>
      </c>
      <c r="F59" t="s">
        <v>190</v>
      </c>
      <c r="G59" t="s">
        <v>125</v>
      </c>
      <c r="H59" t="s">
        <v>86</v>
      </c>
      <c r="I59" s="17">
        <v>2</v>
      </c>
      <c r="J59" s="16">
        <v>0.1</v>
      </c>
      <c r="K59" t="s">
        <v>88</v>
      </c>
      <c r="L59" t="s">
        <v>89</v>
      </c>
      <c r="M59" s="17">
        <v>4</v>
      </c>
      <c r="N59" t="str" cm="1">
        <f t="array" ref="N59">_xlfn.XLOOKUP(RawSalesTable5[[#This Row],[Product_Code]],ProductLookupTable[[#All],[Product_Code]],ProductLookupTable[[#All],[Product_Name]],"NOT FOUND")</f>
        <v>NOT FOUND</v>
      </c>
      <c r="O59" t="str" cm="1">
        <f t="array" ref="O59">_xlfn.XLOOKUP(RawSalesTable5[[#This Row],[Product_Code]],ProductLookupTable[[#All],[Product_Code]],ProductLookupTable[[#All],[Category]],"NOT FOUND")</f>
        <v>NOT FOUND</v>
      </c>
      <c r="P59" t="str" cm="1">
        <f t="array" ref="P59">_xlfn.XLOOKUP(RawSalesTable5[[#This Row],[Product_Code]],ProductLookupTable[[#All],[Product_Code]],ProductLookupTable[[#All],[Unit_Price]],"NOT FOUND")</f>
        <v>NOT FOUND</v>
      </c>
      <c r="Q59" t="str">
        <f>IF(COUNTIF(ProductLookupTable[Product_Code],RawSalesTable5[[#This Row],[Product_Code]])=0,"Missing Product","OK")</f>
        <v>Missing Product</v>
      </c>
      <c r="R59" t="str" cm="1">
        <f t="array" ref="R59">_xlfn.XLOOKUP(RawSalesTable5[[#This Row],[Product_Code]],ProductLookupTable[[#All],[Product_Code]],ProductLookupTable[[#All],[Unit_Cost]],"NOT FOUND")</f>
        <v>NOT FOUND</v>
      </c>
      <c r="S59" t="str">
        <f>IFERROR(RawSalesTable5[[#This Row],[Quantity]]*RawSalesTable5[[#This Row],[Unit_Price]],"NOT FOUND")</f>
        <v>NOT FOUND</v>
      </c>
      <c r="T59" t="str">
        <f>IFERROR(RawSalesTable5[[#This Row],[Gross_Revenue]]*RawSalesTable5[[#This Row],[Discount_Pct]],"NOT FOUND")</f>
        <v>NOT FOUND</v>
      </c>
      <c r="U59" t="str">
        <f>IFERROR(RawSalesTable5[[#This Row],[Gross_Revenue]]-RawSalesTable5[[#This Row],[Discount_Value]],"NOT FOUND")</f>
        <v>NOT FOUND</v>
      </c>
      <c r="V59" t="str">
        <f>IFERROR(RawSalesTable5[[#This Row],[Quantity]]*RawSalesTable5[[#This Row],[Unit_Cost]],"NOT FOUND")</f>
        <v>NOT FOUND</v>
      </c>
      <c r="W59" t="str">
        <f>IFERROR(RawSalesTable5[[#This Row],[Net_Revenue]]-RawSalesTable5[[#This Row],[Cost]],"NOT FOUND")</f>
        <v>NOT FOUND</v>
      </c>
      <c r="X59" s="27" t="str">
        <f>IF(RawSalesTable5[[#This Row],[Lookup_Status]]="Missing Product","",IFERROR(RawSalesTable5[[#This Row],[Profit]]/RawSalesTable5[[#This Row],[Net_Revenue]],0))</f>
        <v/>
      </c>
      <c r="Y59">
        <f>RawSalesTable5[[#This Row],[Ship_Date]]-RawSalesTable5[[#This Row],[Order_Date]]</f>
        <v>2</v>
      </c>
      <c r="Z59" s="28">
        <f>DATE(YEAR(RawSalesTable5[[#This Row],[Order_Date]]),MONTH(RawSalesTable5[[#This Row],[Order_Date]]),1)</f>
        <v>45901</v>
      </c>
      <c r="AA59" t="str" cm="1">
        <f t="array" ref="AA59">IF(RawSalesTable5[[#This Row],[Lookup_Status]]="Missing Product","",_xlfn.IFS(RawSalesTable5[[#This Row],[Net_Revenue]]&gt;=20000,"High",RawSalesTable5[[#This Row],[Net_Revenue]]&gt;=10000,"Medium",TRUE,"Low"))</f>
        <v/>
      </c>
    </row>
    <row r="60" spans="1:27">
      <c r="A60" t="s">
        <v>191</v>
      </c>
      <c r="B60" s="15">
        <v>45718</v>
      </c>
      <c r="C60" s="15">
        <v>45724</v>
      </c>
      <c r="D60" t="s">
        <v>212</v>
      </c>
      <c r="E60" t="s">
        <v>106</v>
      </c>
      <c r="F60" t="s">
        <v>85</v>
      </c>
      <c r="G60" t="s">
        <v>125</v>
      </c>
      <c r="H60" t="s">
        <v>87</v>
      </c>
      <c r="I60" s="17">
        <v>5</v>
      </c>
      <c r="J60" s="16">
        <v>0.1</v>
      </c>
      <c r="K60" t="s">
        <v>112</v>
      </c>
      <c r="L60" t="s">
        <v>89</v>
      </c>
      <c r="M60" s="17">
        <v>4</v>
      </c>
      <c r="N60" t="str" cm="1">
        <f t="array" ref="N60">_xlfn.XLOOKUP(RawSalesTable5[[#This Row],[Product_Code]],ProductLookupTable[[#All],[Product_Code]],ProductLookupTable[[#All],[Product_Name]],"NOT FOUND")</f>
        <v>Ergonomic Chair</v>
      </c>
      <c r="O60" t="str" cm="1">
        <f t="array" ref="O60">_xlfn.XLOOKUP(RawSalesTable5[[#This Row],[Product_Code]],ProductLookupTable[[#All],[Product_Code]],ProductLookupTable[[#All],[Category]],"NOT FOUND")</f>
        <v>Furniture</v>
      </c>
      <c r="P60" cm="1">
        <f t="array" ref="P60">_xlfn.XLOOKUP(RawSalesTable5[[#This Row],[Product_Code]],ProductLookupTable[[#All],[Product_Code]],ProductLookupTable[[#All],[Unit_Price]],"NOT FOUND")</f>
        <v>10499</v>
      </c>
      <c r="Q60" t="str">
        <f>IF(COUNTIF(ProductLookupTable[Product_Code],RawSalesTable5[[#This Row],[Product_Code]])=0,"Missing Product","OK")</f>
        <v>OK</v>
      </c>
      <c r="R60" cm="1">
        <f t="array" ref="R60">_xlfn.XLOOKUP(RawSalesTable5[[#This Row],[Product_Code]],ProductLookupTable[[#All],[Product_Code]],ProductLookupTable[[#All],[Unit_Cost]],"NOT FOUND")</f>
        <v>7600</v>
      </c>
      <c r="S60">
        <f>IFERROR(RawSalesTable5[[#This Row],[Quantity]]*RawSalesTable5[[#This Row],[Unit_Price]],"NOT FOUND")</f>
        <v>52495</v>
      </c>
      <c r="T60">
        <f>IFERROR(RawSalesTable5[[#This Row],[Gross_Revenue]]*RawSalesTable5[[#This Row],[Discount_Pct]],"NOT FOUND")</f>
        <v>5249.5</v>
      </c>
      <c r="U60">
        <f>IFERROR(RawSalesTable5[[#This Row],[Gross_Revenue]]-RawSalesTable5[[#This Row],[Discount_Value]],"NOT FOUND")</f>
        <v>47245.5</v>
      </c>
      <c r="V60">
        <f>IFERROR(RawSalesTable5[[#This Row],[Quantity]]*RawSalesTable5[[#This Row],[Unit_Cost]],"NOT FOUND")</f>
        <v>38000</v>
      </c>
      <c r="W60">
        <f>IFERROR(RawSalesTable5[[#This Row],[Net_Revenue]]-RawSalesTable5[[#This Row],[Cost]],"NOT FOUND")</f>
        <v>9245.5</v>
      </c>
      <c r="X60" s="27">
        <f>IF(RawSalesTable5[[#This Row],[Lookup_Status]]="Missing Product","",IFERROR(RawSalesTable5[[#This Row],[Profit]]/RawSalesTable5[[#This Row],[Net_Revenue]],0))</f>
        <v>0.19569059487146925</v>
      </c>
      <c r="Y60">
        <f>RawSalesTable5[[#This Row],[Ship_Date]]-RawSalesTable5[[#This Row],[Order_Date]]</f>
        <v>6</v>
      </c>
      <c r="Z60" s="28">
        <f>DATE(YEAR(RawSalesTable5[[#This Row],[Order_Date]]),MONTH(RawSalesTable5[[#This Row],[Order_Date]]),1)</f>
        <v>45717</v>
      </c>
      <c r="AA60" t="str" cm="1">
        <f t="array" ref="AA60">IF(RawSalesTable5[[#This Row],[Lookup_Status]]="Missing Product","",_xlfn.IFS(RawSalesTable5[[#This Row],[Net_Revenue]]&gt;=20000,"High",RawSalesTable5[[#This Row],[Net_Revenue]]&gt;=10000,"Medium",TRUE,"Low"))</f>
        <v>High</v>
      </c>
    </row>
    <row r="61" spans="1:27">
      <c r="A61" t="s">
        <v>192</v>
      </c>
      <c r="B61" s="15">
        <v>46005</v>
      </c>
      <c r="C61" s="15">
        <v>46009</v>
      </c>
      <c r="D61" t="s">
        <v>123</v>
      </c>
      <c r="E61" t="s">
        <v>111</v>
      </c>
      <c r="F61" t="s">
        <v>85</v>
      </c>
      <c r="G61" t="s">
        <v>86</v>
      </c>
      <c r="H61" t="s">
        <v>87</v>
      </c>
      <c r="I61" s="17">
        <v>1</v>
      </c>
      <c r="J61" s="16">
        <v>0.2</v>
      </c>
      <c r="K61" t="s">
        <v>140</v>
      </c>
      <c r="L61" t="s">
        <v>89</v>
      </c>
      <c r="M61" s="17">
        <v>3</v>
      </c>
      <c r="N61" t="str" cm="1">
        <f t="array" ref="N61">_xlfn.XLOOKUP(RawSalesTable5[[#This Row],[Product_Code]],ProductLookupTable[[#All],[Product_Code]],ProductLookupTable[[#All],[Product_Name]],"NOT FOUND")</f>
        <v>Ergonomic Chair</v>
      </c>
      <c r="O61" t="str" cm="1">
        <f t="array" ref="O61">_xlfn.XLOOKUP(RawSalesTable5[[#This Row],[Product_Code]],ProductLookupTable[[#All],[Product_Code]],ProductLookupTable[[#All],[Category]],"NOT FOUND")</f>
        <v>Furniture</v>
      </c>
      <c r="P61" cm="1">
        <f t="array" ref="P61">_xlfn.XLOOKUP(RawSalesTable5[[#This Row],[Product_Code]],ProductLookupTable[[#All],[Product_Code]],ProductLookupTable[[#All],[Unit_Price]],"NOT FOUND")</f>
        <v>10499</v>
      </c>
      <c r="Q61" t="str">
        <f>IF(COUNTIF(ProductLookupTable[Product_Code],RawSalesTable5[[#This Row],[Product_Code]])=0,"Missing Product","OK")</f>
        <v>OK</v>
      </c>
      <c r="R61" cm="1">
        <f t="array" ref="R61">_xlfn.XLOOKUP(RawSalesTable5[[#This Row],[Product_Code]],ProductLookupTable[[#All],[Product_Code]],ProductLookupTable[[#All],[Unit_Cost]],"NOT FOUND")</f>
        <v>7600</v>
      </c>
      <c r="S61">
        <f>IFERROR(RawSalesTable5[[#This Row],[Quantity]]*RawSalesTable5[[#This Row],[Unit_Price]],"NOT FOUND")</f>
        <v>10499</v>
      </c>
      <c r="T61">
        <f>IFERROR(RawSalesTable5[[#This Row],[Gross_Revenue]]*RawSalesTable5[[#This Row],[Discount_Pct]],"NOT FOUND")</f>
        <v>2099.8000000000002</v>
      </c>
      <c r="U61">
        <f>IFERROR(RawSalesTable5[[#This Row],[Gross_Revenue]]-RawSalesTable5[[#This Row],[Discount_Value]],"NOT FOUND")</f>
        <v>8399.2000000000007</v>
      </c>
      <c r="V61">
        <f>IFERROR(RawSalesTable5[[#This Row],[Quantity]]*RawSalesTable5[[#This Row],[Unit_Cost]],"NOT FOUND")</f>
        <v>7600</v>
      </c>
      <c r="W61">
        <f>IFERROR(RawSalesTable5[[#This Row],[Net_Revenue]]-RawSalesTable5[[#This Row],[Cost]],"NOT FOUND")</f>
        <v>799.20000000000073</v>
      </c>
      <c r="X61" s="27">
        <f>IF(RawSalesTable5[[#This Row],[Lookup_Status]]="Missing Product","",IFERROR(RawSalesTable5[[#This Row],[Profit]]/RawSalesTable5[[#This Row],[Net_Revenue]],0))</f>
        <v>9.5151919230402976E-2</v>
      </c>
      <c r="Y61">
        <f>RawSalesTable5[[#This Row],[Ship_Date]]-RawSalesTable5[[#This Row],[Order_Date]]</f>
        <v>4</v>
      </c>
      <c r="Z61" s="28">
        <f>DATE(YEAR(RawSalesTable5[[#This Row],[Order_Date]]),MONTH(RawSalesTable5[[#This Row],[Order_Date]]),1)</f>
        <v>45992</v>
      </c>
      <c r="AA61" t="str" cm="1">
        <f t="array" ref="AA61">IF(RawSalesTable5[[#This Row],[Lookup_Status]]="Missing Product","",_xlfn.IFS(RawSalesTable5[[#This Row],[Net_Revenue]]&gt;=20000,"High",RawSalesTable5[[#This Row],[Net_Revenue]]&gt;=10000,"Medium",TRUE,"Low"))</f>
        <v>Low</v>
      </c>
    </row>
    <row r="62" spans="1:27">
      <c r="A62" t="s">
        <v>193</v>
      </c>
      <c r="B62" s="15">
        <v>45931</v>
      </c>
      <c r="C62" s="15">
        <v>45932</v>
      </c>
      <c r="D62" t="s">
        <v>83</v>
      </c>
      <c r="E62" t="s">
        <v>84</v>
      </c>
      <c r="F62" t="s">
        <v>107</v>
      </c>
      <c r="G62" t="s">
        <v>125</v>
      </c>
      <c r="H62" t="s">
        <v>87</v>
      </c>
      <c r="I62" s="17">
        <v>3</v>
      </c>
      <c r="J62" s="16">
        <v>0.15</v>
      </c>
      <c r="K62" t="s">
        <v>112</v>
      </c>
      <c r="L62" t="s">
        <v>89</v>
      </c>
      <c r="M62" s="17">
        <v>5</v>
      </c>
      <c r="N62" t="str" cm="1">
        <f t="array" ref="N62">_xlfn.XLOOKUP(RawSalesTable5[[#This Row],[Product_Code]],ProductLookupTable[[#All],[Product_Code]],ProductLookupTable[[#All],[Product_Name]],"NOT FOUND")</f>
        <v>Bluetooth Speaker</v>
      </c>
      <c r="O62" t="str" cm="1">
        <f t="array" ref="O62">_xlfn.XLOOKUP(RawSalesTable5[[#This Row],[Product_Code]],ProductLookupTable[[#All],[Product_Code]],ProductLookupTable[[#All],[Category]],"NOT FOUND")</f>
        <v>Audio</v>
      </c>
      <c r="P62" cm="1">
        <f t="array" ref="P62">_xlfn.XLOOKUP(RawSalesTable5[[#This Row],[Product_Code]],ProductLookupTable[[#All],[Product_Code]],ProductLookupTable[[#All],[Unit_Price]],"NOT FOUND")</f>
        <v>2799</v>
      </c>
      <c r="Q62" t="str">
        <f>IF(COUNTIF(ProductLookupTable[Product_Code],RawSalesTable5[[#This Row],[Product_Code]])=0,"Missing Product","OK")</f>
        <v>OK</v>
      </c>
      <c r="R62" cm="1">
        <f t="array" ref="R62">_xlfn.XLOOKUP(RawSalesTable5[[#This Row],[Product_Code]],ProductLookupTable[[#All],[Product_Code]],ProductLookupTable[[#All],[Unit_Cost]],"NOT FOUND")</f>
        <v>1650</v>
      </c>
      <c r="S62">
        <f>IFERROR(RawSalesTable5[[#This Row],[Quantity]]*RawSalesTable5[[#This Row],[Unit_Price]],"NOT FOUND")</f>
        <v>8397</v>
      </c>
      <c r="T62">
        <f>IFERROR(RawSalesTable5[[#This Row],[Gross_Revenue]]*RawSalesTable5[[#This Row],[Discount_Pct]],"NOT FOUND")</f>
        <v>1259.55</v>
      </c>
      <c r="U62">
        <f>IFERROR(RawSalesTable5[[#This Row],[Gross_Revenue]]-RawSalesTable5[[#This Row],[Discount_Value]],"NOT FOUND")</f>
        <v>7137.45</v>
      </c>
      <c r="V62">
        <f>IFERROR(RawSalesTable5[[#This Row],[Quantity]]*RawSalesTable5[[#This Row],[Unit_Cost]],"NOT FOUND")</f>
        <v>4950</v>
      </c>
      <c r="W62">
        <f>IFERROR(RawSalesTable5[[#This Row],[Net_Revenue]]-RawSalesTable5[[#This Row],[Cost]],"NOT FOUND")</f>
        <v>2187.4499999999998</v>
      </c>
      <c r="X62" s="27">
        <f>IF(RawSalesTable5[[#This Row],[Lookup_Status]]="Missing Product","",IFERROR(RawSalesTable5[[#This Row],[Profit]]/RawSalesTable5[[#This Row],[Net_Revenue]],0))</f>
        <v>0.30647500157619317</v>
      </c>
      <c r="Y62">
        <f>RawSalesTable5[[#This Row],[Ship_Date]]-RawSalesTable5[[#This Row],[Order_Date]]</f>
        <v>1</v>
      </c>
      <c r="Z62" s="28">
        <f>DATE(YEAR(RawSalesTable5[[#This Row],[Order_Date]]),MONTH(RawSalesTable5[[#This Row],[Order_Date]]),1)</f>
        <v>45931</v>
      </c>
      <c r="AA62" t="str" cm="1">
        <f t="array" ref="AA62">IF(RawSalesTable5[[#This Row],[Lookup_Status]]="Missing Product","",_xlfn.IFS(RawSalesTable5[[#This Row],[Net_Revenue]]&gt;=20000,"High",RawSalesTable5[[#This Row],[Net_Revenue]]&gt;=10000,"Medium",TRUE,"Low"))</f>
        <v>Low</v>
      </c>
    </row>
    <row r="63" spans="1:27">
      <c r="A63" t="s">
        <v>194</v>
      </c>
      <c r="B63" s="15">
        <v>45827</v>
      </c>
      <c r="C63" s="15">
        <v>45834</v>
      </c>
      <c r="D63" t="s">
        <v>114</v>
      </c>
      <c r="E63" t="s">
        <v>92</v>
      </c>
      <c r="F63" t="s">
        <v>138</v>
      </c>
      <c r="G63" t="s">
        <v>94</v>
      </c>
      <c r="H63" t="s">
        <v>86</v>
      </c>
      <c r="I63" s="17">
        <v>2</v>
      </c>
      <c r="J63" s="16">
        <v>0</v>
      </c>
      <c r="K63" t="s">
        <v>88</v>
      </c>
      <c r="L63" t="s">
        <v>89</v>
      </c>
      <c r="M63" s="17">
        <v>3</v>
      </c>
      <c r="N63" t="str" cm="1">
        <f t="array" ref="N63">_xlfn.XLOOKUP(RawSalesTable5[[#This Row],[Product_Code]],ProductLookupTable[[#All],[Product_Code]],ProductLookupTable[[#All],[Product_Name]],"NOT FOUND")</f>
        <v>24-inch Monitor</v>
      </c>
      <c r="O63" t="str" cm="1">
        <f t="array" ref="O63">_xlfn.XLOOKUP(RawSalesTable5[[#This Row],[Product_Code]],ProductLookupTable[[#All],[Product_Code]],ProductLookupTable[[#All],[Category]],"NOT FOUND")</f>
        <v>Displays</v>
      </c>
      <c r="P63" cm="1">
        <f t="array" ref="P63">_xlfn.XLOOKUP(RawSalesTable5[[#This Row],[Product_Code]],ProductLookupTable[[#All],[Product_Code]],ProductLookupTable[[#All],[Unit_Price]],"NOT FOUND")</f>
        <v>12999</v>
      </c>
      <c r="Q63" t="str">
        <f>IF(COUNTIF(ProductLookupTable[Product_Code],RawSalesTable5[[#This Row],[Product_Code]])=0,"Missing Product","OK")</f>
        <v>OK</v>
      </c>
      <c r="R63" cm="1">
        <f t="array" ref="R63">_xlfn.XLOOKUP(RawSalesTable5[[#This Row],[Product_Code]],ProductLookupTable[[#All],[Product_Code]],ProductLookupTable[[#All],[Unit_Cost]],"NOT FOUND")</f>
        <v>9100</v>
      </c>
      <c r="S63">
        <f>IFERROR(RawSalesTable5[[#This Row],[Quantity]]*RawSalesTable5[[#This Row],[Unit_Price]],"NOT FOUND")</f>
        <v>25998</v>
      </c>
      <c r="T63">
        <f>IFERROR(RawSalesTable5[[#This Row],[Gross_Revenue]]*RawSalesTable5[[#This Row],[Discount_Pct]],"NOT FOUND")</f>
        <v>0</v>
      </c>
      <c r="U63">
        <f>IFERROR(RawSalesTable5[[#This Row],[Gross_Revenue]]-RawSalesTable5[[#This Row],[Discount_Value]],"NOT FOUND")</f>
        <v>25998</v>
      </c>
      <c r="V63">
        <f>IFERROR(RawSalesTable5[[#This Row],[Quantity]]*RawSalesTable5[[#This Row],[Unit_Cost]],"NOT FOUND")</f>
        <v>18200</v>
      </c>
      <c r="W63">
        <f>IFERROR(RawSalesTable5[[#This Row],[Net_Revenue]]-RawSalesTable5[[#This Row],[Cost]],"NOT FOUND")</f>
        <v>7798</v>
      </c>
      <c r="X63" s="27">
        <f>IF(RawSalesTable5[[#This Row],[Lookup_Status]]="Missing Product","",IFERROR(RawSalesTable5[[#This Row],[Profit]]/RawSalesTable5[[#This Row],[Net_Revenue]],0))</f>
        <v>0.29994614970382338</v>
      </c>
      <c r="Y63">
        <f>RawSalesTable5[[#This Row],[Ship_Date]]-RawSalesTable5[[#This Row],[Order_Date]]</f>
        <v>7</v>
      </c>
      <c r="Z63" s="28">
        <f>DATE(YEAR(RawSalesTable5[[#This Row],[Order_Date]]),MONTH(RawSalesTable5[[#This Row],[Order_Date]]),1)</f>
        <v>45809</v>
      </c>
      <c r="AA63" t="str" cm="1">
        <f t="array" ref="AA63">IF(RawSalesTable5[[#This Row],[Lookup_Status]]="Missing Product","",_xlfn.IFS(RawSalesTable5[[#This Row],[Net_Revenue]]&gt;=20000,"High",RawSalesTable5[[#This Row],[Net_Revenue]]&gt;=10000,"Medium",TRUE,"Low"))</f>
        <v>High</v>
      </c>
    </row>
    <row r="64" spans="1:27">
      <c r="A64" t="s">
        <v>195</v>
      </c>
      <c r="B64" s="15">
        <v>45673</v>
      </c>
      <c r="C64" s="15">
        <v>45679</v>
      </c>
      <c r="D64" t="s">
        <v>157</v>
      </c>
      <c r="E64" t="s">
        <v>98</v>
      </c>
      <c r="F64" t="s">
        <v>107</v>
      </c>
      <c r="G64" t="s">
        <v>86</v>
      </c>
      <c r="H64" t="s">
        <v>86</v>
      </c>
      <c r="I64" s="17">
        <v>1</v>
      </c>
      <c r="J64" s="16">
        <v>0.05</v>
      </c>
      <c r="K64" t="s">
        <v>140</v>
      </c>
      <c r="L64" t="s">
        <v>89</v>
      </c>
      <c r="M64" s="17">
        <v>5</v>
      </c>
      <c r="N64" t="str" cm="1">
        <f t="array" ref="N64">_xlfn.XLOOKUP(RawSalesTable5[[#This Row],[Product_Code]],ProductLookupTable[[#All],[Product_Code]],ProductLookupTable[[#All],[Product_Name]],"NOT FOUND")</f>
        <v>Bluetooth Speaker</v>
      </c>
      <c r="O64" t="str" cm="1">
        <f t="array" ref="O64">_xlfn.XLOOKUP(RawSalesTable5[[#This Row],[Product_Code]],ProductLookupTable[[#All],[Product_Code]],ProductLookupTable[[#All],[Category]],"NOT FOUND")</f>
        <v>Audio</v>
      </c>
      <c r="P64" cm="1">
        <f t="array" ref="P64">_xlfn.XLOOKUP(RawSalesTable5[[#This Row],[Product_Code]],ProductLookupTable[[#All],[Product_Code]],ProductLookupTable[[#All],[Unit_Price]],"NOT FOUND")</f>
        <v>2799</v>
      </c>
      <c r="Q64" t="str">
        <f>IF(COUNTIF(ProductLookupTable[Product_Code],RawSalesTable5[[#This Row],[Product_Code]])=0,"Missing Product","OK")</f>
        <v>OK</v>
      </c>
      <c r="R64" cm="1">
        <f t="array" ref="R64">_xlfn.XLOOKUP(RawSalesTable5[[#This Row],[Product_Code]],ProductLookupTable[[#All],[Product_Code]],ProductLookupTable[[#All],[Unit_Cost]],"NOT FOUND")</f>
        <v>1650</v>
      </c>
      <c r="S64">
        <f>IFERROR(RawSalesTable5[[#This Row],[Quantity]]*RawSalesTable5[[#This Row],[Unit_Price]],"NOT FOUND")</f>
        <v>2799</v>
      </c>
      <c r="T64">
        <f>IFERROR(RawSalesTable5[[#This Row],[Gross_Revenue]]*RawSalesTable5[[#This Row],[Discount_Pct]],"NOT FOUND")</f>
        <v>139.95000000000002</v>
      </c>
      <c r="U64">
        <f>IFERROR(RawSalesTable5[[#This Row],[Gross_Revenue]]-RawSalesTable5[[#This Row],[Discount_Value]],"NOT FOUND")</f>
        <v>2659.05</v>
      </c>
      <c r="V64">
        <f>IFERROR(RawSalesTable5[[#This Row],[Quantity]]*RawSalesTable5[[#This Row],[Unit_Cost]],"NOT FOUND")</f>
        <v>1650</v>
      </c>
      <c r="W64">
        <f>IFERROR(RawSalesTable5[[#This Row],[Net_Revenue]]-RawSalesTable5[[#This Row],[Cost]],"NOT FOUND")</f>
        <v>1009.0500000000002</v>
      </c>
      <c r="X64" s="27">
        <f>IF(RawSalesTable5[[#This Row],[Lookup_Status]]="Missing Product","",IFERROR(RawSalesTable5[[#This Row],[Profit]]/RawSalesTable5[[#This Row],[Net_Revenue]],0))</f>
        <v>0.37947763298922554</v>
      </c>
      <c r="Y64">
        <f>RawSalesTable5[[#This Row],[Ship_Date]]-RawSalesTable5[[#This Row],[Order_Date]]</f>
        <v>6</v>
      </c>
      <c r="Z64" s="28">
        <f>DATE(YEAR(RawSalesTable5[[#This Row],[Order_Date]]),MONTH(RawSalesTable5[[#This Row],[Order_Date]]),1)</f>
        <v>45658</v>
      </c>
      <c r="AA64" t="str" cm="1">
        <f t="array" ref="AA64">IF(RawSalesTable5[[#This Row],[Lookup_Status]]="Missing Product","",_xlfn.IFS(RawSalesTable5[[#This Row],[Net_Revenue]]&gt;=20000,"High",RawSalesTable5[[#This Row],[Net_Revenue]]&gt;=10000,"Medium",TRUE,"Low"))</f>
        <v>Low</v>
      </c>
    </row>
    <row r="65" spans="1:27">
      <c r="A65" t="s">
        <v>196</v>
      </c>
      <c r="B65" s="15">
        <v>45686</v>
      </c>
      <c r="C65" s="15">
        <v>45689</v>
      </c>
      <c r="D65" t="s">
        <v>212</v>
      </c>
      <c r="E65" t="s">
        <v>101</v>
      </c>
      <c r="F65" t="s">
        <v>149</v>
      </c>
      <c r="G65" t="s">
        <v>86</v>
      </c>
      <c r="H65" t="s">
        <v>86</v>
      </c>
      <c r="I65" s="17">
        <v>3</v>
      </c>
      <c r="J65" s="16">
        <v>0.15</v>
      </c>
      <c r="K65" t="s">
        <v>112</v>
      </c>
      <c r="L65" t="s">
        <v>89</v>
      </c>
      <c r="M65" s="17">
        <v>4</v>
      </c>
      <c r="N65" t="str" cm="1">
        <f t="array" ref="N65">_xlfn.XLOOKUP(RawSalesTable5[[#This Row],[Product_Code]],ProductLookupTable[[#All],[Product_Code]],ProductLookupTable[[#All],[Product_Name]],"NOT FOUND")</f>
        <v>Portable HDD 2TB</v>
      </c>
      <c r="O65" t="str" cm="1">
        <f t="array" ref="O65">_xlfn.XLOOKUP(RawSalesTable5[[#This Row],[Product_Code]],ProductLookupTable[[#All],[Product_Code]],ProductLookupTable[[#All],[Category]],"NOT FOUND")</f>
        <v>Storage</v>
      </c>
      <c r="P65" cm="1">
        <f t="array" ref="P65">_xlfn.XLOOKUP(RawSalesTable5[[#This Row],[Product_Code]],ProductLookupTable[[#All],[Product_Code]],ProductLookupTable[[#All],[Unit_Price]],"NOT FOUND")</f>
        <v>5899</v>
      </c>
      <c r="Q65" t="str">
        <f>IF(COUNTIF(ProductLookupTable[Product_Code],RawSalesTable5[[#This Row],[Product_Code]])=0,"Missing Product","OK")</f>
        <v>OK</v>
      </c>
      <c r="R65" cm="1">
        <f t="array" ref="R65">_xlfn.XLOOKUP(RawSalesTable5[[#This Row],[Product_Code]],ProductLookupTable[[#All],[Product_Code]],ProductLookupTable[[#All],[Unit_Cost]],"NOT FOUND")</f>
        <v>4100</v>
      </c>
      <c r="S65">
        <f>IFERROR(RawSalesTable5[[#This Row],[Quantity]]*RawSalesTable5[[#This Row],[Unit_Price]],"NOT FOUND")</f>
        <v>17697</v>
      </c>
      <c r="T65">
        <f>IFERROR(RawSalesTable5[[#This Row],[Gross_Revenue]]*RawSalesTable5[[#This Row],[Discount_Pct]],"NOT FOUND")</f>
        <v>2654.5499999999997</v>
      </c>
      <c r="U65">
        <f>IFERROR(RawSalesTable5[[#This Row],[Gross_Revenue]]-RawSalesTable5[[#This Row],[Discount_Value]],"NOT FOUND")</f>
        <v>15042.45</v>
      </c>
      <c r="V65">
        <f>IFERROR(RawSalesTable5[[#This Row],[Quantity]]*RawSalesTable5[[#This Row],[Unit_Cost]],"NOT FOUND")</f>
        <v>12300</v>
      </c>
      <c r="W65">
        <f>IFERROR(RawSalesTable5[[#This Row],[Net_Revenue]]-RawSalesTable5[[#This Row],[Cost]],"NOT FOUND")</f>
        <v>2742.4500000000007</v>
      </c>
      <c r="X65" s="27">
        <f>IF(RawSalesTable5[[#This Row],[Lookup_Status]]="Missing Product","",IFERROR(RawSalesTable5[[#This Row],[Profit]]/RawSalesTable5[[#This Row],[Net_Revenue]],0))</f>
        <v>0.18231405123500496</v>
      </c>
      <c r="Y65">
        <f>RawSalesTable5[[#This Row],[Ship_Date]]-RawSalesTable5[[#This Row],[Order_Date]]</f>
        <v>3</v>
      </c>
      <c r="Z65" s="28">
        <f>DATE(YEAR(RawSalesTable5[[#This Row],[Order_Date]]),MONTH(RawSalesTable5[[#This Row],[Order_Date]]),1)</f>
        <v>45658</v>
      </c>
      <c r="AA65" t="str" cm="1">
        <f t="array" ref="AA65">IF(RawSalesTable5[[#This Row],[Lookup_Status]]="Missing Product","",_xlfn.IFS(RawSalesTable5[[#This Row],[Net_Revenue]]&gt;=20000,"High",RawSalesTable5[[#This Row],[Net_Revenue]]&gt;=10000,"Medium",TRUE,"Low"))</f>
        <v>Medium</v>
      </c>
    </row>
    <row r="66" spans="1:27">
      <c r="A66" t="s">
        <v>197</v>
      </c>
      <c r="B66" s="15">
        <v>45966</v>
      </c>
      <c r="C66" s="15">
        <v>45971</v>
      </c>
      <c r="D66" t="s">
        <v>123</v>
      </c>
      <c r="E66" t="s">
        <v>106</v>
      </c>
      <c r="F66" t="s">
        <v>124</v>
      </c>
      <c r="G66" t="s">
        <v>108</v>
      </c>
      <c r="H66" t="s">
        <v>86</v>
      </c>
      <c r="I66" s="17">
        <v>1</v>
      </c>
      <c r="J66" s="16">
        <v>0</v>
      </c>
      <c r="K66" t="s">
        <v>140</v>
      </c>
      <c r="L66" t="s">
        <v>89</v>
      </c>
      <c r="M66" s="17">
        <v>5</v>
      </c>
      <c r="N66" t="str" cm="1">
        <f t="array" ref="N66">_xlfn.XLOOKUP(RawSalesTable5[[#This Row],[Product_Code]],ProductLookupTable[[#All],[Product_Code]],ProductLookupTable[[#All],[Product_Name]],"NOT FOUND")</f>
        <v>Wireless Mouse</v>
      </c>
      <c r="O66" t="str" cm="1">
        <f t="array" ref="O66">_xlfn.XLOOKUP(RawSalesTable5[[#This Row],[Product_Code]],ProductLookupTable[[#All],[Product_Code]],ProductLookupTable[[#All],[Category]],"NOT FOUND")</f>
        <v>Accessories</v>
      </c>
      <c r="P66" cm="1">
        <f t="array" ref="P66">_xlfn.XLOOKUP(RawSalesTable5[[#This Row],[Product_Code]],ProductLookupTable[[#All],[Product_Code]],ProductLookupTable[[#All],[Unit_Price]],"NOT FOUND")</f>
        <v>799</v>
      </c>
      <c r="Q66" t="str">
        <f>IF(COUNTIF(ProductLookupTable[Product_Code],RawSalesTable5[[#This Row],[Product_Code]])=0,"Missing Product","OK")</f>
        <v>OK</v>
      </c>
      <c r="R66" cm="1">
        <f t="array" ref="R66">_xlfn.XLOOKUP(RawSalesTable5[[#This Row],[Product_Code]],ProductLookupTable[[#All],[Product_Code]],ProductLookupTable[[#All],[Unit_Cost]],"NOT FOUND")</f>
        <v>420</v>
      </c>
      <c r="S66">
        <f>IFERROR(RawSalesTable5[[#This Row],[Quantity]]*RawSalesTable5[[#This Row],[Unit_Price]],"NOT FOUND")</f>
        <v>799</v>
      </c>
      <c r="T66">
        <f>IFERROR(RawSalesTable5[[#This Row],[Gross_Revenue]]*RawSalesTable5[[#This Row],[Discount_Pct]],"NOT FOUND")</f>
        <v>0</v>
      </c>
      <c r="U66">
        <f>IFERROR(RawSalesTable5[[#This Row],[Gross_Revenue]]-RawSalesTable5[[#This Row],[Discount_Value]],"NOT FOUND")</f>
        <v>799</v>
      </c>
      <c r="V66">
        <f>IFERROR(RawSalesTable5[[#This Row],[Quantity]]*RawSalesTable5[[#This Row],[Unit_Cost]],"NOT FOUND")</f>
        <v>420</v>
      </c>
      <c r="W66">
        <f>IFERROR(RawSalesTable5[[#This Row],[Net_Revenue]]-RawSalesTable5[[#This Row],[Cost]],"NOT FOUND")</f>
        <v>379</v>
      </c>
      <c r="X66" s="27">
        <f>IF(RawSalesTable5[[#This Row],[Lookup_Status]]="Missing Product","",IFERROR(RawSalesTable5[[#This Row],[Profit]]/RawSalesTable5[[#This Row],[Net_Revenue]],0))</f>
        <v>0.47434292866082606</v>
      </c>
      <c r="Y66">
        <f>RawSalesTable5[[#This Row],[Ship_Date]]-RawSalesTable5[[#This Row],[Order_Date]]</f>
        <v>5</v>
      </c>
      <c r="Z66" s="28">
        <f>DATE(YEAR(RawSalesTable5[[#This Row],[Order_Date]]),MONTH(RawSalesTable5[[#This Row],[Order_Date]]),1)</f>
        <v>45962</v>
      </c>
      <c r="AA66" t="str" cm="1">
        <f t="array" ref="AA66">IF(RawSalesTable5[[#This Row],[Lookup_Status]]="Missing Product","",_xlfn.IFS(RawSalesTable5[[#This Row],[Net_Revenue]]&gt;=20000,"High",RawSalesTable5[[#This Row],[Net_Revenue]]&gt;=10000,"Medium",TRUE,"Low"))</f>
        <v>Low</v>
      </c>
    </row>
    <row r="67" spans="1:27">
      <c r="A67" t="s">
        <v>198</v>
      </c>
      <c r="B67" s="15">
        <v>45996</v>
      </c>
      <c r="C67" s="15">
        <v>45999</v>
      </c>
      <c r="D67" t="s">
        <v>83</v>
      </c>
      <c r="E67" t="s">
        <v>111</v>
      </c>
      <c r="F67" t="s">
        <v>147</v>
      </c>
      <c r="G67" t="s">
        <v>125</v>
      </c>
      <c r="H67" t="s">
        <v>86</v>
      </c>
      <c r="I67" s="17">
        <v>3</v>
      </c>
      <c r="J67" s="16">
        <v>0.05</v>
      </c>
      <c r="K67" t="s">
        <v>88</v>
      </c>
      <c r="L67" t="s">
        <v>89</v>
      </c>
      <c r="M67" s="17">
        <v>3</v>
      </c>
      <c r="N67" t="str" cm="1">
        <f t="array" ref="N67">_xlfn.XLOOKUP(RawSalesTable5[[#This Row],[Product_Code]],ProductLookupTable[[#All],[Product_Code]],ProductLookupTable[[#All],[Product_Name]],"NOT FOUND")</f>
        <v>LED Desk Lamp</v>
      </c>
      <c r="O67" t="str" cm="1">
        <f t="array" ref="O67">_xlfn.XLOOKUP(RawSalesTable5[[#This Row],[Product_Code]],ProductLookupTable[[#All],[Product_Code]],ProductLookupTable[[#All],[Category]],"NOT FOUND")</f>
        <v>Furniture</v>
      </c>
      <c r="P67" cm="1">
        <f t="array" ref="P67">_xlfn.XLOOKUP(RawSalesTable5[[#This Row],[Product_Code]],ProductLookupTable[[#All],[Product_Code]],ProductLookupTable[[#All],[Unit_Price]],"NOT FOUND")</f>
        <v>1999</v>
      </c>
      <c r="Q67" t="str">
        <f>IF(COUNTIF(ProductLookupTable[Product_Code],RawSalesTable5[[#This Row],[Product_Code]])=0,"Missing Product","OK")</f>
        <v>OK</v>
      </c>
      <c r="R67" cm="1">
        <f t="array" ref="R67">_xlfn.XLOOKUP(RawSalesTable5[[#This Row],[Product_Code]],ProductLookupTable[[#All],[Product_Code]],ProductLookupTable[[#All],[Unit_Cost]],"NOT FOUND")</f>
        <v>1050</v>
      </c>
      <c r="S67">
        <f>IFERROR(RawSalesTable5[[#This Row],[Quantity]]*RawSalesTable5[[#This Row],[Unit_Price]],"NOT FOUND")</f>
        <v>5997</v>
      </c>
      <c r="T67">
        <f>IFERROR(RawSalesTable5[[#This Row],[Gross_Revenue]]*RawSalesTable5[[#This Row],[Discount_Pct]],"NOT FOUND")</f>
        <v>299.85000000000002</v>
      </c>
      <c r="U67">
        <f>IFERROR(RawSalesTable5[[#This Row],[Gross_Revenue]]-RawSalesTable5[[#This Row],[Discount_Value]],"NOT FOUND")</f>
        <v>5697.15</v>
      </c>
      <c r="V67">
        <f>IFERROR(RawSalesTable5[[#This Row],[Quantity]]*RawSalesTable5[[#This Row],[Unit_Cost]],"NOT FOUND")</f>
        <v>3150</v>
      </c>
      <c r="W67">
        <f>IFERROR(RawSalesTable5[[#This Row],[Net_Revenue]]-RawSalesTable5[[#This Row],[Cost]],"NOT FOUND")</f>
        <v>2547.1499999999996</v>
      </c>
      <c r="X67" s="27">
        <f>IF(RawSalesTable5[[#This Row],[Lookup_Status]]="Missing Product","",IFERROR(RawSalesTable5[[#This Row],[Profit]]/RawSalesTable5[[#This Row],[Net_Revenue]],0))</f>
        <v>0.44709196703614962</v>
      </c>
      <c r="Y67">
        <f>RawSalesTable5[[#This Row],[Ship_Date]]-RawSalesTable5[[#This Row],[Order_Date]]</f>
        <v>3</v>
      </c>
      <c r="Z67" s="28">
        <f>DATE(YEAR(RawSalesTable5[[#This Row],[Order_Date]]),MONTH(RawSalesTable5[[#This Row],[Order_Date]]),1)</f>
        <v>45992</v>
      </c>
      <c r="AA67" t="str" cm="1">
        <f t="array" ref="AA67">IF(RawSalesTable5[[#This Row],[Lookup_Status]]="Missing Product","",_xlfn.IFS(RawSalesTable5[[#This Row],[Net_Revenue]]&gt;=20000,"High",RawSalesTable5[[#This Row],[Net_Revenue]]&gt;=10000,"Medium",TRUE,"Low"))</f>
        <v>Low</v>
      </c>
    </row>
    <row r="68" spans="1:27">
      <c r="A68" t="s">
        <v>199</v>
      </c>
      <c r="B68" s="15">
        <v>45749</v>
      </c>
      <c r="C68" s="15">
        <v>45756</v>
      </c>
      <c r="D68" t="s">
        <v>114</v>
      </c>
      <c r="E68" t="s">
        <v>84</v>
      </c>
      <c r="F68" t="s">
        <v>115</v>
      </c>
      <c r="G68" t="s">
        <v>94</v>
      </c>
      <c r="H68" t="s">
        <v>86</v>
      </c>
      <c r="I68" s="17">
        <v>1</v>
      </c>
      <c r="J68" s="16">
        <v>0.05</v>
      </c>
      <c r="K68" t="s">
        <v>140</v>
      </c>
      <c r="L68" t="s">
        <v>89</v>
      </c>
      <c r="M68" s="17">
        <v>5</v>
      </c>
      <c r="N68" t="str" cm="1">
        <f t="array" ref="N68">_xlfn.XLOOKUP(RawSalesTable5[[#This Row],[Product_Code]],ProductLookupTable[[#All],[Product_Code]],ProductLookupTable[[#All],[Product_Name]],"NOT FOUND")</f>
        <v>USB-C Hub</v>
      </c>
      <c r="O68" t="str" cm="1">
        <f t="array" ref="O68">_xlfn.XLOOKUP(RawSalesTable5[[#This Row],[Product_Code]],ProductLookupTable[[#All],[Product_Code]],ProductLookupTable[[#All],[Category]],"NOT FOUND")</f>
        <v>Accessories</v>
      </c>
      <c r="P68" cm="1">
        <f t="array" ref="P68">_xlfn.XLOOKUP(RawSalesTable5[[#This Row],[Product_Code]],ProductLookupTable[[#All],[Product_Code]],ProductLookupTable[[#All],[Unit_Price]],"NOT FOUND")</f>
        <v>1599</v>
      </c>
      <c r="Q68" t="str">
        <f>IF(COUNTIF(ProductLookupTable[Product_Code],RawSalesTable5[[#This Row],[Product_Code]])=0,"Missing Product","OK")</f>
        <v>OK</v>
      </c>
      <c r="R68" cm="1">
        <f t="array" ref="R68">_xlfn.XLOOKUP(RawSalesTable5[[#This Row],[Product_Code]],ProductLookupTable[[#All],[Product_Code]],ProductLookupTable[[#All],[Unit_Cost]],"NOT FOUND")</f>
        <v>870</v>
      </c>
      <c r="S68">
        <f>IFERROR(RawSalesTable5[[#This Row],[Quantity]]*RawSalesTable5[[#This Row],[Unit_Price]],"NOT FOUND")</f>
        <v>1599</v>
      </c>
      <c r="T68">
        <f>IFERROR(RawSalesTable5[[#This Row],[Gross_Revenue]]*RawSalesTable5[[#This Row],[Discount_Pct]],"NOT FOUND")</f>
        <v>79.95</v>
      </c>
      <c r="U68">
        <f>IFERROR(RawSalesTable5[[#This Row],[Gross_Revenue]]-RawSalesTable5[[#This Row],[Discount_Value]],"NOT FOUND")</f>
        <v>1519.05</v>
      </c>
      <c r="V68">
        <f>IFERROR(RawSalesTable5[[#This Row],[Quantity]]*RawSalesTable5[[#This Row],[Unit_Cost]],"NOT FOUND")</f>
        <v>870</v>
      </c>
      <c r="W68">
        <f>IFERROR(RawSalesTable5[[#This Row],[Net_Revenue]]-RawSalesTable5[[#This Row],[Cost]],"NOT FOUND")</f>
        <v>649.04999999999995</v>
      </c>
      <c r="X68" s="27">
        <f>IF(RawSalesTable5[[#This Row],[Lookup_Status]]="Missing Product","",IFERROR(RawSalesTable5[[#This Row],[Profit]]/RawSalesTable5[[#This Row],[Net_Revenue]],0))</f>
        <v>0.42727362496297028</v>
      </c>
      <c r="Y68">
        <f>RawSalesTable5[[#This Row],[Ship_Date]]-RawSalesTable5[[#This Row],[Order_Date]]</f>
        <v>7</v>
      </c>
      <c r="Z68" s="28">
        <f>DATE(YEAR(RawSalesTable5[[#This Row],[Order_Date]]),MONTH(RawSalesTable5[[#This Row],[Order_Date]]),1)</f>
        <v>45748</v>
      </c>
      <c r="AA68" t="str" cm="1">
        <f t="array" ref="AA68">IF(RawSalesTable5[[#This Row],[Lookup_Status]]="Missing Product","",_xlfn.IFS(RawSalesTable5[[#This Row],[Net_Revenue]]&gt;=20000,"High",RawSalesTable5[[#This Row],[Net_Revenue]]&gt;=10000,"Medium",TRUE,"Low"))</f>
        <v>Low</v>
      </c>
    </row>
    <row r="69" spans="1:27">
      <c r="A69" t="s">
        <v>200</v>
      </c>
      <c r="B69" s="15">
        <v>45658</v>
      </c>
      <c r="C69" s="15">
        <v>45666</v>
      </c>
      <c r="D69" t="s">
        <v>157</v>
      </c>
      <c r="E69" t="s">
        <v>92</v>
      </c>
      <c r="F69" t="s">
        <v>154</v>
      </c>
      <c r="G69" t="s">
        <v>108</v>
      </c>
      <c r="H69" t="s">
        <v>103</v>
      </c>
      <c r="I69" s="17">
        <v>1</v>
      </c>
      <c r="J69" s="16">
        <v>0</v>
      </c>
      <c r="K69" t="s">
        <v>140</v>
      </c>
      <c r="L69" t="s">
        <v>89</v>
      </c>
      <c r="M69" s="17">
        <v>5</v>
      </c>
      <c r="N69" t="str" cm="1">
        <f t="array" ref="N69">_xlfn.XLOOKUP(RawSalesTable5[[#This Row],[Product_Code]],ProductLookupTable[[#All],[Product_Code]],ProductLookupTable[[#All],[Product_Name]],"NOT FOUND")</f>
        <v>Laptop Stand</v>
      </c>
      <c r="O69" t="str" cm="1">
        <f t="array" ref="O69">_xlfn.XLOOKUP(RawSalesTable5[[#This Row],[Product_Code]],ProductLookupTable[[#All],[Product_Code]],ProductLookupTable[[#All],[Category]],"NOT FOUND")</f>
        <v>Accessories</v>
      </c>
      <c r="P69" cm="1">
        <f t="array" ref="P69">_xlfn.XLOOKUP(RawSalesTable5[[#This Row],[Product_Code]],ProductLookupTable[[#All],[Product_Code]],ProductLookupTable[[#All],[Unit_Price]],"NOT FOUND")</f>
        <v>1899</v>
      </c>
      <c r="Q69" t="str">
        <f>IF(COUNTIF(ProductLookupTable[Product_Code],RawSalesTable5[[#This Row],[Product_Code]])=0,"Missing Product","OK")</f>
        <v>OK</v>
      </c>
      <c r="R69" cm="1">
        <f t="array" ref="R69">_xlfn.XLOOKUP(RawSalesTable5[[#This Row],[Product_Code]],ProductLookupTable[[#All],[Product_Code]],ProductLookupTable[[#All],[Unit_Cost]],"NOT FOUND")</f>
        <v>980</v>
      </c>
      <c r="S69">
        <f>IFERROR(RawSalesTable5[[#This Row],[Quantity]]*RawSalesTable5[[#This Row],[Unit_Price]],"NOT FOUND")</f>
        <v>1899</v>
      </c>
      <c r="T69">
        <f>IFERROR(RawSalesTable5[[#This Row],[Gross_Revenue]]*RawSalesTable5[[#This Row],[Discount_Pct]],"NOT FOUND")</f>
        <v>0</v>
      </c>
      <c r="U69">
        <f>IFERROR(RawSalesTable5[[#This Row],[Gross_Revenue]]-RawSalesTable5[[#This Row],[Discount_Value]],"NOT FOUND")</f>
        <v>1899</v>
      </c>
      <c r="V69">
        <f>IFERROR(RawSalesTable5[[#This Row],[Quantity]]*RawSalesTable5[[#This Row],[Unit_Cost]],"NOT FOUND")</f>
        <v>980</v>
      </c>
      <c r="W69">
        <f>IFERROR(RawSalesTable5[[#This Row],[Net_Revenue]]-RawSalesTable5[[#This Row],[Cost]],"NOT FOUND")</f>
        <v>919</v>
      </c>
      <c r="X69" s="27">
        <f>IF(RawSalesTable5[[#This Row],[Lookup_Status]]="Missing Product","",IFERROR(RawSalesTable5[[#This Row],[Profit]]/RawSalesTable5[[#This Row],[Net_Revenue]],0))</f>
        <v>0.48393891521853605</v>
      </c>
      <c r="Y69">
        <f>RawSalesTable5[[#This Row],[Ship_Date]]-RawSalesTable5[[#This Row],[Order_Date]]</f>
        <v>8</v>
      </c>
      <c r="Z69" s="28">
        <f>DATE(YEAR(RawSalesTable5[[#This Row],[Order_Date]]),MONTH(RawSalesTable5[[#This Row],[Order_Date]]),1)</f>
        <v>45658</v>
      </c>
      <c r="AA69" t="str" cm="1">
        <f t="array" ref="AA69">IF(RawSalesTable5[[#This Row],[Lookup_Status]]="Missing Product","",_xlfn.IFS(RawSalesTable5[[#This Row],[Net_Revenue]]&gt;=20000,"High",RawSalesTable5[[#This Row],[Net_Revenue]]&gt;=10000,"Medium",TRUE,"Low"))</f>
        <v>Low</v>
      </c>
    </row>
    <row r="70" spans="1:27">
      <c r="A70" t="s">
        <v>201</v>
      </c>
      <c r="B70" s="15">
        <v>45762</v>
      </c>
      <c r="C70" s="15">
        <v>45764</v>
      </c>
      <c r="D70" t="s">
        <v>212</v>
      </c>
      <c r="E70" t="s">
        <v>98</v>
      </c>
      <c r="F70" t="s">
        <v>107</v>
      </c>
      <c r="G70" t="s">
        <v>94</v>
      </c>
      <c r="H70" t="s">
        <v>87</v>
      </c>
      <c r="I70" s="17">
        <v>1</v>
      </c>
      <c r="J70" s="16">
        <v>0.15</v>
      </c>
      <c r="K70" t="s">
        <v>140</v>
      </c>
      <c r="L70" t="s">
        <v>89</v>
      </c>
      <c r="M70" s="17">
        <v>5</v>
      </c>
      <c r="N70" t="str" cm="1">
        <f t="array" ref="N70">_xlfn.XLOOKUP(RawSalesTable5[[#This Row],[Product_Code]],ProductLookupTable[[#All],[Product_Code]],ProductLookupTable[[#All],[Product_Name]],"NOT FOUND")</f>
        <v>Bluetooth Speaker</v>
      </c>
      <c r="O70" t="str" cm="1">
        <f t="array" ref="O70">_xlfn.XLOOKUP(RawSalesTable5[[#This Row],[Product_Code]],ProductLookupTable[[#All],[Product_Code]],ProductLookupTable[[#All],[Category]],"NOT FOUND")</f>
        <v>Audio</v>
      </c>
      <c r="P70" cm="1">
        <f t="array" ref="P70">_xlfn.XLOOKUP(RawSalesTable5[[#This Row],[Product_Code]],ProductLookupTable[[#All],[Product_Code]],ProductLookupTable[[#All],[Unit_Price]],"NOT FOUND")</f>
        <v>2799</v>
      </c>
      <c r="Q70" t="str">
        <f>IF(COUNTIF(ProductLookupTable[Product_Code],RawSalesTable5[[#This Row],[Product_Code]])=0,"Missing Product","OK")</f>
        <v>OK</v>
      </c>
      <c r="R70" cm="1">
        <f t="array" ref="R70">_xlfn.XLOOKUP(RawSalesTable5[[#This Row],[Product_Code]],ProductLookupTable[[#All],[Product_Code]],ProductLookupTable[[#All],[Unit_Cost]],"NOT FOUND")</f>
        <v>1650</v>
      </c>
      <c r="S70">
        <f>IFERROR(RawSalesTable5[[#This Row],[Quantity]]*RawSalesTable5[[#This Row],[Unit_Price]],"NOT FOUND")</f>
        <v>2799</v>
      </c>
      <c r="T70">
        <f>IFERROR(RawSalesTable5[[#This Row],[Gross_Revenue]]*RawSalesTable5[[#This Row],[Discount_Pct]],"NOT FOUND")</f>
        <v>419.84999999999997</v>
      </c>
      <c r="U70">
        <f>IFERROR(RawSalesTable5[[#This Row],[Gross_Revenue]]-RawSalesTable5[[#This Row],[Discount_Value]],"NOT FOUND")</f>
        <v>2379.15</v>
      </c>
      <c r="V70">
        <f>IFERROR(RawSalesTable5[[#This Row],[Quantity]]*RawSalesTable5[[#This Row],[Unit_Cost]],"NOT FOUND")</f>
        <v>1650</v>
      </c>
      <c r="W70">
        <f>IFERROR(RawSalesTable5[[#This Row],[Net_Revenue]]-RawSalesTable5[[#This Row],[Cost]],"NOT FOUND")</f>
        <v>729.15000000000009</v>
      </c>
      <c r="X70" s="27">
        <f>IF(RawSalesTable5[[#This Row],[Lookup_Status]]="Missing Product","",IFERROR(RawSalesTable5[[#This Row],[Profit]]/RawSalesTable5[[#This Row],[Net_Revenue]],0))</f>
        <v>0.30647500157619323</v>
      </c>
      <c r="Y70">
        <f>RawSalesTable5[[#This Row],[Ship_Date]]-RawSalesTable5[[#This Row],[Order_Date]]</f>
        <v>2</v>
      </c>
      <c r="Z70" s="28">
        <f>DATE(YEAR(RawSalesTable5[[#This Row],[Order_Date]]),MONTH(RawSalesTable5[[#This Row],[Order_Date]]),1)</f>
        <v>45748</v>
      </c>
      <c r="AA70" t="str" cm="1">
        <f t="array" ref="AA70">IF(RawSalesTable5[[#This Row],[Lookup_Status]]="Missing Product","",_xlfn.IFS(RawSalesTable5[[#This Row],[Net_Revenue]]&gt;=20000,"High",RawSalesTable5[[#This Row],[Net_Revenue]]&gt;=10000,"Medium",TRUE,"Low"))</f>
        <v>Low</v>
      </c>
    </row>
    <row r="71" spans="1:27">
      <c r="A71" t="s">
        <v>202</v>
      </c>
      <c r="B71" s="15">
        <v>45996</v>
      </c>
      <c r="C71" s="15">
        <v>45997</v>
      </c>
      <c r="D71" t="s">
        <v>123</v>
      </c>
      <c r="E71" t="s">
        <v>101</v>
      </c>
      <c r="F71" t="s">
        <v>121</v>
      </c>
      <c r="G71" t="s">
        <v>125</v>
      </c>
      <c r="H71" t="s">
        <v>103</v>
      </c>
      <c r="I71" s="17">
        <v>4</v>
      </c>
      <c r="J71" s="16">
        <v>0.1</v>
      </c>
      <c r="K71" t="s">
        <v>88</v>
      </c>
      <c r="L71" t="s">
        <v>89</v>
      </c>
      <c r="M71" s="17">
        <v>5</v>
      </c>
      <c r="N71" t="str" cm="1">
        <f t="array" ref="N71">_xlfn.XLOOKUP(RawSalesTable5[[#This Row],[Product_Code]],ProductLookupTable[[#All],[Product_Code]],ProductLookupTable[[#All],[Product_Name]],"NOT FOUND")</f>
        <v>HD Webcam</v>
      </c>
      <c r="O71" t="str" cm="1">
        <f t="array" ref="O71">_xlfn.XLOOKUP(RawSalesTable5[[#This Row],[Product_Code]],ProductLookupTable[[#All],[Product_Code]],ProductLookupTable[[#All],[Category]],"NOT FOUND")</f>
        <v>Accessories</v>
      </c>
      <c r="P71" cm="1">
        <f t="array" ref="P71">_xlfn.XLOOKUP(RawSalesTable5[[#This Row],[Product_Code]],ProductLookupTable[[#All],[Product_Code]],ProductLookupTable[[#All],[Unit_Price]],"NOT FOUND")</f>
        <v>2899</v>
      </c>
      <c r="Q71" t="str">
        <f>IF(COUNTIF(ProductLookupTable[Product_Code],RawSalesTable5[[#This Row],[Product_Code]])=0,"Missing Product","OK")</f>
        <v>OK</v>
      </c>
      <c r="R71" cm="1">
        <f t="array" ref="R71">_xlfn.XLOOKUP(RawSalesTable5[[#This Row],[Product_Code]],ProductLookupTable[[#All],[Product_Code]],ProductLookupTable[[#All],[Unit_Cost]],"NOT FOUND")</f>
        <v>1700</v>
      </c>
      <c r="S71">
        <f>IFERROR(RawSalesTable5[[#This Row],[Quantity]]*RawSalesTable5[[#This Row],[Unit_Price]],"NOT FOUND")</f>
        <v>11596</v>
      </c>
      <c r="T71">
        <f>IFERROR(RawSalesTable5[[#This Row],[Gross_Revenue]]*RawSalesTable5[[#This Row],[Discount_Pct]],"NOT FOUND")</f>
        <v>1159.6000000000001</v>
      </c>
      <c r="U71">
        <f>IFERROR(RawSalesTable5[[#This Row],[Gross_Revenue]]-RawSalesTable5[[#This Row],[Discount_Value]],"NOT FOUND")</f>
        <v>10436.4</v>
      </c>
      <c r="V71">
        <f>IFERROR(RawSalesTable5[[#This Row],[Quantity]]*RawSalesTable5[[#This Row],[Unit_Cost]],"NOT FOUND")</f>
        <v>6800</v>
      </c>
      <c r="W71">
        <f>IFERROR(RawSalesTable5[[#This Row],[Net_Revenue]]-RawSalesTable5[[#This Row],[Cost]],"NOT FOUND")</f>
        <v>3636.3999999999996</v>
      </c>
      <c r="X71" s="27">
        <f>IF(RawSalesTable5[[#This Row],[Lookup_Status]]="Missing Product","",IFERROR(RawSalesTable5[[#This Row],[Profit]]/RawSalesTable5[[#This Row],[Net_Revenue]],0))</f>
        <v>0.34843432601280133</v>
      </c>
      <c r="Y71">
        <f>RawSalesTable5[[#This Row],[Ship_Date]]-RawSalesTable5[[#This Row],[Order_Date]]</f>
        <v>1</v>
      </c>
      <c r="Z71" s="28">
        <f>DATE(YEAR(RawSalesTable5[[#This Row],[Order_Date]]),MONTH(RawSalesTable5[[#This Row],[Order_Date]]),1)</f>
        <v>45992</v>
      </c>
      <c r="AA71" t="str" cm="1">
        <f t="array" ref="AA71">IF(RawSalesTable5[[#This Row],[Lookup_Status]]="Missing Product","",_xlfn.IFS(RawSalesTable5[[#This Row],[Net_Revenue]]&gt;=20000,"High",RawSalesTable5[[#This Row],[Net_Revenue]]&gt;=10000,"Medium",TRUE,"Low"))</f>
        <v>Medium</v>
      </c>
    </row>
    <row r="72" spans="1:27">
      <c r="A72" t="s">
        <v>203</v>
      </c>
      <c r="B72" s="15">
        <v>45746</v>
      </c>
      <c r="C72" s="15">
        <v>45753</v>
      </c>
      <c r="D72" t="s">
        <v>83</v>
      </c>
      <c r="E72" t="s">
        <v>106</v>
      </c>
      <c r="F72" t="s">
        <v>149</v>
      </c>
      <c r="G72" t="s">
        <v>94</v>
      </c>
      <c r="H72" t="s">
        <v>86</v>
      </c>
      <c r="I72" s="17">
        <v>5</v>
      </c>
      <c r="J72" s="16">
        <v>0</v>
      </c>
      <c r="K72" t="s">
        <v>95</v>
      </c>
      <c r="L72" t="s">
        <v>89</v>
      </c>
      <c r="M72" s="17">
        <v>4</v>
      </c>
      <c r="N72" t="str" cm="1">
        <f t="array" ref="N72">_xlfn.XLOOKUP(RawSalesTable5[[#This Row],[Product_Code]],ProductLookupTable[[#All],[Product_Code]],ProductLookupTable[[#All],[Product_Name]],"NOT FOUND")</f>
        <v>Portable HDD 2TB</v>
      </c>
      <c r="O72" t="str" cm="1">
        <f t="array" ref="O72">_xlfn.XLOOKUP(RawSalesTable5[[#This Row],[Product_Code]],ProductLookupTable[[#All],[Product_Code]],ProductLookupTable[[#All],[Category]],"NOT FOUND")</f>
        <v>Storage</v>
      </c>
      <c r="P72" cm="1">
        <f t="array" ref="P72">_xlfn.XLOOKUP(RawSalesTable5[[#This Row],[Product_Code]],ProductLookupTable[[#All],[Product_Code]],ProductLookupTable[[#All],[Unit_Price]],"NOT FOUND")</f>
        <v>5899</v>
      </c>
      <c r="Q72" t="str">
        <f>IF(COUNTIF(ProductLookupTable[Product_Code],RawSalesTable5[[#This Row],[Product_Code]])=0,"Missing Product","OK")</f>
        <v>OK</v>
      </c>
      <c r="R72" cm="1">
        <f t="array" ref="R72">_xlfn.XLOOKUP(RawSalesTable5[[#This Row],[Product_Code]],ProductLookupTable[[#All],[Product_Code]],ProductLookupTable[[#All],[Unit_Cost]],"NOT FOUND")</f>
        <v>4100</v>
      </c>
      <c r="S72">
        <f>IFERROR(RawSalesTable5[[#This Row],[Quantity]]*RawSalesTable5[[#This Row],[Unit_Price]],"NOT FOUND")</f>
        <v>29495</v>
      </c>
      <c r="T72">
        <f>IFERROR(RawSalesTable5[[#This Row],[Gross_Revenue]]*RawSalesTable5[[#This Row],[Discount_Pct]],"NOT FOUND")</f>
        <v>0</v>
      </c>
      <c r="U72">
        <f>IFERROR(RawSalesTable5[[#This Row],[Gross_Revenue]]-RawSalesTable5[[#This Row],[Discount_Value]],"NOT FOUND")</f>
        <v>29495</v>
      </c>
      <c r="V72">
        <f>IFERROR(RawSalesTable5[[#This Row],[Quantity]]*RawSalesTable5[[#This Row],[Unit_Cost]],"NOT FOUND")</f>
        <v>20500</v>
      </c>
      <c r="W72">
        <f>IFERROR(RawSalesTable5[[#This Row],[Net_Revenue]]-RawSalesTable5[[#This Row],[Cost]],"NOT FOUND")</f>
        <v>8995</v>
      </c>
      <c r="X72" s="27">
        <f>IF(RawSalesTable5[[#This Row],[Lookup_Status]]="Missing Product","",IFERROR(RawSalesTable5[[#This Row],[Profit]]/RawSalesTable5[[#This Row],[Net_Revenue]],0))</f>
        <v>0.30496694354975418</v>
      </c>
      <c r="Y72">
        <f>RawSalesTable5[[#This Row],[Ship_Date]]-RawSalesTable5[[#This Row],[Order_Date]]</f>
        <v>7</v>
      </c>
      <c r="Z72" s="28">
        <f>DATE(YEAR(RawSalesTable5[[#This Row],[Order_Date]]),MONTH(RawSalesTable5[[#This Row],[Order_Date]]),1)</f>
        <v>45717</v>
      </c>
      <c r="AA72" t="str" cm="1">
        <f t="array" ref="AA72">IF(RawSalesTable5[[#This Row],[Lookup_Status]]="Missing Product","",_xlfn.IFS(RawSalesTable5[[#This Row],[Net_Revenue]]&gt;=20000,"High",RawSalesTable5[[#This Row],[Net_Revenue]]&gt;=10000,"Medium",TRUE,"Low"))</f>
        <v>High</v>
      </c>
    </row>
    <row r="73" spans="1:27">
      <c r="A73" t="s">
        <v>204</v>
      </c>
      <c r="B73" s="15">
        <v>45785</v>
      </c>
      <c r="C73" s="15">
        <v>45792</v>
      </c>
      <c r="D73" t="s">
        <v>114</v>
      </c>
      <c r="E73" t="s">
        <v>111</v>
      </c>
      <c r="F73" t="s">
        <v>124</v>
      </c>
      <c r="G73" t="s">
        <v>86</v>
      </c>
      <c r="H73" t="s">
        <v>103</v>
      </c>
      <c r="I73" s="17">
        <v>1</v>
      </c>
      <c r="J73" s="16">
        <v>0.1</v>
      </c>
      <c r="K73" t="s">
        <v>140</v>
      </c>
      <c r="L73" t="s">
        <v>89</v>
      </c>
      <c r="M73" s="17">
        <v>3</v>
      </c>
      <c r="N73" t="str" cm="1">
        <f t="array" ref="N73">_xlfn.XLOOKUP(RawSalesTable5[[#This Row],[Product_Code]],ProductLookupTable[[#All],[Product_Code]],ProductLookupTable[[#All],[Product_Name]],"NOT FOUND")</f>
        <v>Wireless Mouse</v>
      </c>
      <c r="O73" t="str" cm="1">
        <f t="array" ref="O73">_xlfn.XLOOKUP(RawSalesTable5[[#This Row],[Product_Code]],ProductLookupTable[[#All],[Product_Code]],ProductLookupTable[[#All],[Category]],"NOT FOUND")</f>
        <v>Accessories</v>
      </c>
      <c r="P73" cm="1">
        <f t="array" ref="P73">_xlfn.XLOOKUP(RawSalesTable5[[#This Row],[Product_Code]],ProductLookupTable[[#All],[Product_Code]],ProductLookupTable[[#All],[Unit_Price]],"NOT FOUND")</f>
        <v>799</v>
      </c>
      <c r="Q73" t="str">
        <f>IF(COUNTIF(ProductLookupTable[Product_Code],RawSalesTable5[[#This Row],[Product_Code]])=0,"Missing Product","OK")</f>
        <v>OK</v>
      </c>
      <c r="R73" cm="1">
        <f t="array" ref="R73">_xlfn.XLOOKUP(RawSalesTable5[[#This Row],[Product_Code]],ProductLookupTable[[#All],[Product_Code]],ProductLookupTable[[#All],[Unit_Cost]],"NOT FOUND")</f>
        <v>420</v>
      </c>
      <c r="S73">
        <f>IFERROR(RawSalesTable5[[#This Row],[Quantity]]*RawSalesTable5[[#This Row],[Unit_Price]],"NOT FOUND")</f>
        <v>799</v>
      </c>
      <c r="T73">
        <f>IFERROR(RawSalesTable5[[#This Row],[Gross_Revenue]]*RawSalesTable5[[#This Row],[Discount_Pct]],"NOT FOUND")</f>
        <v>79.900000000000006</v>
      </c>
      <c r="U73">
        <f>IFERROR(RawSalesTable5[[#This Row],[Gross_Revenue]]-RawSalesTable5[[#This Row],[Discount_Value]],"NOT FOUND")</f>
        <v>719.1</v>
      </c>
      <c r="V73">
        <f>IFERROR(RawSalesTable5[[#This Row],[Quantity]]*RawSalesTable5[[#This Row],[Unit_Cost]],"NOT FOUND")</f>
        <v>420</v>
      </c>
      <c r="W73">
        <f>IFERROR(RawSalesTable5[[#This Row],[Net_Revenue]]-RawSalesTable5[[#This Row],[Cost]],"NOT FOUND")</f>
        <v>299.10000000000002</v>
      </c>
      <c r="X73" s="27">
        <f>IF(RawSalesTable5[[#This Row],[Lookup_Status]]="Missing Product","",IFERROR(RawSalesTable5[[#This Row],[Profit]]/RawSalesTable5[[#This Row],[Net_Revenue]],0))</f>
        <v>0.41593658740091782</v>
      </c>
      <c r="Y73">
        <f>RawSalesTable5[[#This Row],[Ship_Date]]-RawSalesTable5[[#This Row],[Order_Date]]</f>
        <v>7</v>
      </c>
      <c r="Z73" s="28">
        <f>DATE(YEAR(RawSalesTable5[[#This Row],[Order_Date]]),MONTH(RawSalesTable5[[#This Row],[Order_Date]]),1)</f>
        <v>45778</v>
      </c>
      <c r="AA73" t="str" cm="1">
        <f t="array" ref="AA73">IF(RawSalesTable5[[#This Row],[Lookup_Status]]="Missing Product","",_xlfn.IFS(RawSalesTable5[[#This Row],[Net_Revenue]]&gt;=20000,"High",RawSalesTable5[[#This Row],[Net_Revenue]]&gt;=10000,"Medium",TRUE,"Low"))</f>
        <v>Low</v>
      </c>
    </row>
    <row r="74" spans="1:27">
      <c r="A74" t="s">
        <v>205</v>
      </c>
      <c r="B74" s="15">
        <v>45829</v>
      </c>
      <c r="C74" s="15">
        <v>45833</v>
      </c>
      <c r="D74" t="s">
        <v>157</v>
      </c>
      <c r="E74" t="s">
        <v>84</v>
      </c>
      <c r="F74" t="s">
        <v>115</v>
      </c>
      <c r="G74" t="s">
        <v>108</v>
      </c>
      <c r="H74" t="s">
        <v>86</v>
      </c>
      <c r="I74" s="17">
        <v>1</v>
      </c>
      <c r="J74" s="16">
        <v>0</v>
      </c>
      <c r="K74" t="s">
        <v>88</v>
      </c>
      <c r="L74" t="s">
        <v>89</v>
      </c>
      <c r="M74" s="17">
        <v>3</v>
      </c>
      <c r="N74" t="str" cm="1">
        <f t="array" ref="N74">_xlfn.XLOOKUP(RawSalesTable5[[#This Row],[Product_Code]],ProductLookupTable[[#All],[Product_Code]],ProductLookupTable[[#All],[Product_Name]],"NOT FOUND")</f>
        <v>USB-C Hub</v>
      </c>
      <c r="O74" t="str" cm="1">
        <f t="array" ref="O74">_xlfn.XLOOKUP(RawSalesTable5[[#This Row],[Product_Code]],ProductLookupTable[[#All],[Product_Code]],ProductLookupTable[[#All],[Category]],"NOT FOUND")</f>
        <v>Accessories</v>
      </c>
      <c r="P74" cm="1">
        <f t="array" ref="P74">_xlfn.XLOOKUP(RawSalesTable5[[#This Row],[Product_Code]],ProductLookupTable[[#All],[Product_Code]],ProductLookupTable[[#All],[Unit_Price]],"NOT FOUND")</f>
        <v>1599</v>
      </c>
      <c r="Q74" t="str">
        <f>IF(COUNTIF(ProductLookupTable[Product_Code],RawSalesTable5[[#This Row],[Product_Code]])=0,"Missing Product","OK")</f>
        <v>OK</v>
      </c>
      <c r="R74" cm="1">
        <f t="array" ref="R74">_xlfn.XLOOKUP(RawSalesTable5[[#This Row],[Product_Code]],ProductLookupTable[[#All],[Product_Code]],ProductLookupTable[[#All],[Unit_Cost]],"NOT FOUND")</f>
        <v>870</v>
      </c>
      <c r="S74">
        <f>IFERROR(RawSalesTable5[[#This Row],[Quantity]]*RawSalesTable5[[#This Row],[Unit_Price]],"NOT FOUND")</f>
        <v>1599</v>
      </c>
      <c r="T74">
        <f>IFERROR(RawSalesTable5[[#This Row],[Gross_Revenue]]*RawSalesTable5[[#This Row],[Discount_Pct]],"NOT FOUND")</f>
        <v>0</v>
      </c>
      <c r="U74">
        <f>IFERROR(RawSalesTable5[[#This Row],[Gross_Revenue]]-RawSalesTable5[[#This Row],[Discount_Value]],"NOT FOUND")</f>
        <v>1599</v>
      </c>
      <c r="V74">
        <f>IFERROR(RawSalesTable5[[#This Row],[Quantity]]*RawSalesTable5[[#This Row],[Unit_Cost]],"NOT FOUND")</f>
        <v>870</v>
      </c>
      <c r="W74">
        <f>IFERROR(RawSalesTable5[[#This Row],[Net_Revenue]]-RawSalesTable5[[#This Row],[Cost]],"NOT FOUND")</f>
        <v>729</v>
      </c>
      <c r="X74" s="27">
        <f>IF(RawSalesTable5[[#This Row],[Lookup_Status]]="Missing Product","",IFERROR(RawSalesTable5[[#This Row],[Profit]]/RawSalesTable5[[#This Row],[Net_Revenue]],0))</f>
        <v>0.45590994371482174</v>
      </c>
      <c r="Y74">
        <f>RawSalesTable5[[#This Row],[Ship_Date]]-RawSalesTable5[[#This Row],[Order_Date]]</f>
        <v>4</v>
      </c>
      <c r="Z74" s="28">
        <f>DATE(YEAR(RawSalesTable5[[#This Row],[Order_Date]]),MONTH(RawSalesTable5[[#This Row],[Order_Date]]),1)</f>
        <v>45809</v>
      </c>
      <c r="AA74" t="str" cm="1">
        <f t="array" ref="AA74">IF(RawSalesTable5[[#This Row],[Lookup_Status]]="Missing Product","",_xlfn.IFS(RawSalesTable5[[#This Row],[Net_Revenue]]&gt;=20000,"High",RawSalesTable5[[#This Row],[Net_Revenue]]&gt;=10000,"Medium",TRUE,"Low"))</f>
        <v>Low</v>
      </c>
    </row>
    <row r="75" spans="1:27">
      <c r="A75" t="s">
        <v>206</v>
      </c>
      <c r="B75" s="15">
        <v>45848</v>
      </c>
      <c r="C75" s="15">
        <v>45850</v>
      </c>
      <c r="D75" t="s">
        <v>212</v>
      </c>
      <c r="E75" t="s">
        <v>92</v>
      </c>
      <c r="F75" t="s">
        <v>124</v>
      </c>
      <c r="G75" t="s">
        <v>94</v>
      </c>
      <c r="H75" t="s">
        <v>103</v>
      </c>
      <c r="I75" s="17">
        <v>5</v>
      </c>
      <c r="J75" s="16">
        <v>0.1</v>
      </c>
      <c r="K75" t="s">
        <v>140</v>
      </c>
      <c r="L75" t="s">
        <v>89</v>
      </c>
      <c r="M75" s="17">
        <v>4</v>
      </c>
      <c r="N75" t="str" cm="1">
        <f t="array" ref="N75">_xlfn.XLOOKUP(RawSalesTable5[[#This Row],[Product_Code]],ProductLookupTable[[#All],[Product_Code]],ProductLookupTable[[#All],[Product_Name]],"NOT FOUND")</f>
        <v>Wireless Mouse</v>
      </c>
      <c r="O75" t="str" cm="1">
        <f t="array" ref="O75">_xlfn.XLOOKUP(RawSalesTable5[[#This Row],[Product_Code]],ProductLookupTable[[#All],[Product_Code]],ProductLookupTable[[#All],[Category]],"NOT FOUND")</f>
        <v>Accessories</v>
      </c>
      <c r="P75" cm="1">
        <f t="array" ref="P75">_xlfn.XLOOKUP(RawSalesTable5[[#This Row],[Product_Code]],ProductLookupTable[[#All],[Product_Code]],ProductLookupTable[[#All],[Unit_Price]],"NOT FOUND")</f>
        <v>799</v>
      </c>
      <c r="Q75" t="str">
        <f>IF(COUNTIF(ProductLookupTable[Product_Code],RawSalesTable5[[#This Row],[Product_Code]])=0,"Missing Product","OK")</f>
        <v>OK</v>
      </c>
      <c r="R75" cm="1">
        <f t="array" ref="R75">_xlfn.XLOOKUP(RawSalesTable5[[#This Row],[Product_Code]],ProductLookupTable[[#All],[Product_Code]],ProductLookupTable[[#All],[Unit_Cost]],"NOT FOUND")</f>
        <v>420</v>
      </c>
      <c r="S75">
        <f>IFERROR(RawSalesTable5[[#This Row],[Quantity]]*RawSalesTable5[[#This Row],[Unit_Price]],"NOT FOUND")</f>
        <v>3995</v>
      </c>
      <c r="T75">
        <f>IFERROR(RawSalesTable5[[#This Row],[Gross_Revenue]]*RawSalesTable5[[#This Row],[Discount_Pct]],"NOT FOUND")</f>
        <v>399.5</v>
      </c>
      <c r="U75">
        <f>IFERROR(RawSalesTable5[[#This Row],[Gross_Revenue]]-RawSalesTable5[[#This Row],[Discount_Value]],"NOT FOUND")</f>
        <v>3595.5</v>
      </c>
      <c r="V75">
        <f>IFERROR(RawSalesTable5[[#This Row],[Quantity]]*RawSalesTable5[[#This Row],[Unit_Cost]],"NOT FOUND")</f>
        <v>2100</v>
      </c>
      <c r="W75">
        <f>IFERROR(RawSalesTable5[[#This Row],[Net_Revenue]]-RawSalesTable5[[#This Row],[Cost]],"NOT FOUND")</f>
        <v>1495.5</v>
      </c>
      <c r="X75" s="27">
        <f>IF(RawSalesTable5[[#This Row],[Lookup_Status]]="Missing Product","",IFERROR(RawSalesTable5[[#This Row],[Profit]]/RawSalesTable5[[#This Row],[Net_Revenue]],0))</f>
        <v>0.41593658740091782</v>
      </c>
      <c r="Y75">
        <f>RawSalesTable5[[#This Row],[Ship_Date]]-RawSalesTable5[[#This Row],[Order_Date]]</f>
        <v>2</v>
      </c>
      <c r="Z75" s="28">
        <f>DATE(YEAR(RawSalesTable5[[#This Row],[Order_Date]]),MONTH(RawSalesTable5[[#This Row],[Order_Date]]),1)</f>
        <v>45839</v>
      </c>
      <c r="AA75" t="str" cm="1">
        <f t="array" ref="AA75">IF(RawSalesTable5[[#This Row],[Lookup_Status]]="Missing Product","",_xlfn.IFS(RawSalesTable5[[#This Row],[Net_Revenue]]&gt;=20000,"High",RawSalesTable5[[#This Row],[Net_Revenue]]&gt;=10000,"Medium",TRUE,"Low"))</f>
        <v>Low</v>
      </c>
    </row>
    <row r="76" spans="1:27">
      <c r="A76" t="s">
        <v>207</v>
      </c>
      <c r="B76" s="15">
        <v>45721</v>
      </c>
      <c r="C76" s="15">
        <v>45728</v>
      </c>
      <c r="D76" t="s">
        <v>531</v>
      </c>
      <c r="E76" t="s">
        <v>98</v>
      </c>
      <c r="F76" t="s">
        <v>85</v>
      </c>
      <c r="G76" t="s">
        <v>125</v>
      </c>
      <c r="H76" t="s">
        <v>103</v>
      </c>
      <c r="I76" s="17">
        <v>4</v>
      </c>
      <c r="J76" s="16">
        <v>0.1</v>
      </c>
      <c r="K76" t="s">
        <v>88</v>
      </c>
      <c r="L76" t="s">
        <v>126</v>
      </c>
      <c r="M76" s="17">
        <v>1</v>
      </c>
      <c r="N76" t="str" cm="1">
        <f t="array" ref="N76">_xlfn.XLOOKUP(RawSalesTable5[[#This Row],[Product_Code]],ProductLookupTable[[#All],[Product_Code]],ProductLookupTable[[#All],[Product_Name]],"NOT FOUND")</f>
        <v>Ergonomic Chair</v>
      </c>
      <c r="O76" t="str" cm="1">
        <f t="array" ref="O76">_xlfn.XLOOKUP(RawSalesTable5[[#This Row],[Product_Code]],ProductLookupTable[[#All],[Product_Code]],ProductLookupTable[[#All],[Category]],"NOT FOUND")</f>
        <v>Furniture</v>
      </c>
      <c r="P76" cm="1">
        <f t="array" ref="P76">_xlfn.XLOOKUP(RawSalesTable5[[#This Row],[Product_Code]],ProductLookupTable[[#All],[Product_Code]],ProductLookupTable[[#All],[Unit_Price]],"NOT FOUND")</f>
        <v>10499</v>
      </c>
      <c r="Q76" t="str">
        <f>IF(COUNTIF(ProductLookupTable[Product_Code],RawSalesTable5[[#This Row],[Product_Code]])=0,"Missing Product","OK")</f>
        <v>OK</v>
      </c>
      <c r="R76" cm="1">
        <f t="array" ref="R76">_xlfn.XLOOKUP(RawSalesTable5[[#This Row],[Product_Code]],ProductLookupTable[[#All],[Product_Code]],ProductLookupTable[[#All],[Unit_Cost]],"NOT FOUND")</f>
        <v>7600</v>
      </c>
      <c r="S76">
        <f>IFERROR(RawSalesTable5[[#This Row],[Quantity]]*RawSalesTable5[[#This Row],[Unit_Price]],"NOT FOUND")</f>
        <v>41996</v>
      </c>
      <c r="T76">
        <f>IFERROR(RawSalesTable5[[#This Row],[Gross_Revenue]]*RawSalesTable5[[#This Row],[Discount_Pct]],"NOT FOUND")</f>
        <v>4199.6000000000004</v>
      </c>
      <c r="U76">
        <f>IFERROR(RawSalesTable5[[#This Row],[Gross_Revenue]]-RawSalesTable5[[#This Row],[Discount_Value]],"NOT FOUND")</f>
        <v>37796.400000000001</v>
      </c>
      <c r="V76">
        <f>IFERROR(RawSalesTable5[[#This Row],[Quantity]]*RawSalesTable5[[#This Row],[Unit_Cost]],"NOT FOUND")</f>
        <v>30400</v>
      </c>
      <c r="W76">
        <f>IFERROR(RawSalesTable5[[#This Row],[Net_Revenue]]-RawSalesTable5[[#This Row],[Cost]],"NOT FOUND")</f>
        <v>7396.4000000000015</v>
      </c>
      <c r="X76" s="27">
        <f>IF(RawSalesTable5[[#This Row],[Lookup_Status]]="Missing Product","",IFERROR(RawSalesTable5[[#This Row],[Profit]]/RawSalesTable5[[#This Row],[Net_Revenue]],0))</f>
        <v>0.19569059487146928</v>
      </c>
      <c r="Y76">
        <f>RawSalesTable5[[#This Row],[Ship_Date]]-RawSalesTable5[[#This Row],[Order_Date]]</f>
        <v>7</v>
      </c>
      <c r="Z76" s="28">
        <f>DATE(YEAR(RawSalesTable5[[#This Row],[Order_Date]]),MONTH(RawSalesTable5[[#This Row],[Order_Date]]),1)</f>
        <v>45717</v>
      </c>
      <c r="AA76" t="str" cm="1">
        <f t="array" ref="AA76">IF(RawSalesTable5[[#This Row],[Lookup_Status]]="Missing Product","",_xlfn.IFS(RawSalesTable5[[#This Row],[Net_Revenue]]&gt;=20000,"High",RawSalesTable5[[#This Row],[Net_Revenue]]&gt;=10000,"Medium",TRUE,"Low"))</f>
        <v>High</v>
      </c>
    </row>
    <row r="77" spans="1:27">
      <c r="A77" t="s">
        <v>208</v>
      </c>
      <c r="B77" s="15">
        <v>45969</v>
      </c>
      <c r="C77" s="15">
        <v>45974</v>
      </c>
      <c r="D77" t="s">
        <v>83</v>
      </c>
      <c r="E77" t="s">
        <v>101</v>
      </c>
      <c r="F77" t="s">
        <v>138</v>
      </c>
      <c r="G77" t="s">
        <v>125</v>
      </c>
      <c r="H77" t="s">
        <v>87</v>
      </c>
      <c r="I77" s="17">
        <v>4</v>
      </c>
      <c r="J77" s="16">
        <v>0</v>
      </c>
      <c r="K77" t="s">
        <v>140</v>
      </c>
      <c r="L77" t="s">
        <v>89</v>
      </c>
      <c r="M77" s="17">
        <v>5</v>
      </c>
      <c r="N77" t="str" cm="1">
        <f t="array" ref="N77">_xlfn.XLOOKUP(RawSalesTable5[[#This Row],[Product_Code]],ProductLookupTable[[#All],[Product_Code]],ProductLookupTable[[#All],[Product_Name]],"NOT FOUND")</f>
        <v>24-inch Monitor</v>
      </c>
      <c r="O77" t="str" cm="1">
        <f t="array" ref="O77">_xlfn.XLOOKUP(RawSalesTable5[[#This Row],[Product_Code]],ProductLookupTable[[#All],[Product_Code]],ProductLookupTable[[#All],[Category]],"NOT FOUND")</f>
        <v>Displays</v>
      </c>
      <c r="P77" cm="1">
        <f t="array" ref="P77">_xlfn.XLOOKUP(RawSalesTable5[[#This Row],[Product_Code]],ProductLookupTable[[#All],[Product_Code]],ProductLookupTable[[#All],[Unit_Price]],"NOT FOUND")</f>
        <v>12999</v>
      </c>
      <c r="Q77" t="str">
        <f>IF(COUNTIF(ProductLookupTable[Product_Code],RawSalesTable5[[#This Row],[Product_Code]])=0,"Missing Product","OK")</f>
        <v>OK</v>
      </c>
      <c r="R77" cm="1">
        <f t="array" ref="R77">_xlfn.XLOOKUP(RawSalesTable5[[#This Row],[Product_Code]],ProductLookupTable[[#All],[Product_Code]],ProductLookupTable[[#All],[Unit_Cost]],"NOT FOUND")</f>
        <v>9100</v>
      </c>
      <c r="S77">
        <f>IFERROR(RawSalesTable5[[#This Row],[Quantity]]*RawSalesTable5[[#This Row],[Unit_Price]],"NOT FOUND")</f>
        <v>51996</v>
      </c>
      <c r="T77">
        <f>IFERROR(RawSalesTable5[[#This Row],[Gross_Revenue]]*RawSalesTable5[[#This Row],[Discount_Pct]],"NOT FOUND")</f>
        <v>0</v>
      </c>
      <c r="U77">
        <f>IFERROR(RawSalesTable5[[#This Row],[Gross_Revenue]]-RawSalesTable5[[#This Row],[Discount_Value]],"NOT FOUND")</f>
        <v>51996</v>
      </c>
      <c r="V77">
        <f>IFERROR(RawSalesTable5[[#This Row],[Quantity]]*RawSalesTable5[[#This Row],[Unit_Cost]],"NOT FOUND")</f>
        <v>36400</v>
      </c>
      <c r="W77">
        <f>IFERROR(RawSalesTable5[[#This Row],[Net_Revenue]]-RawSalesTable5[[#This Row],[Cost]],"NOT FOUND")</f>
        <v>15596</v>
      </c>
      <c r="X77" s="27">
        <f>IF(RawSalesTable5[[#This Row],[Lookup_Status]]="Missing Product","",IFERROR(RawSalesTable5[[#This Row],[Profit]]/RawSalesTable5[[#This Row],[Net_Revenue]],0))</f>
        <v>0.29994614970382338</v>
      </c>
      <c r="Y77">
        <f>RawSalesTable5[[#This Row],[Ship_Date]]-RawSalesTable5[[#This Row],[Order_Date]]</f>
        <v>5</v>
      </c>
      <c r="Z77" s="28">
        <f>DATE(YEAR(RawSalesTable5[[#This Row],[Order_Date]]),MONTH(RawSalesTable5[[#This Row],[Order_Date]]),1)</f>
        <v>45962</v>
      </c>
      <c r="AA77" t="str" cm="1">
        <f t="array" ref="AA77">IF(RawSalesTable5[[#This Row],[Lookup_Status]]="Missing Product","",_xlfn.IFS(RawSalesTable5[[#This Row],[Net_Revenue]]&gt;=20000,"High",RawSalesTable5[[#This Row],[Net_Revenue]]&gt;=10000,"Medium",TRUE,"Low"))</f>
        <v>High</v>
      </c>
    </row>
    <row r="78" spans="1:27">
      <c r="A78" t="s">
        <v>209</v>
      </c>
      <c r="B78" s="15">
        <v>45930</v>
      </c>
      <c r="C78" s="15">
        <v>45932</v>
      </c>
      <c r="D78" t="s">
        <v>114</v>
      </c>
      <c r="E78" t="s">
        <v>106</v>
      </c>
      <c r="F78" t="s">
        <v>149</v>
      </c>
      <c r="G78" t="s">
        <v>108</v>
      </c>
      <c r="H78" t="s">
        <v>86</v>
      </c>
      <c r="I78" s="17">
        <v>1</v>
      </c>
      <c r="J78" s="16">
        <v>0.1</v>
      </c>
      <c r="K78" t="s">
        <v>95</v>
      </c>
      <c r="L78" t="s">
        <v>89</v>
      </c>
      <c r="M78" s="17">
        <v>5</v>
      </c>
      <c r="N78" t="str" cm="1">
        <f t="array" ref="N78">_xlfn.XLOOKUP(RawSalesTable5[[#This Row],[Product_Code]],ProductLookupTable[[#All],[Product_Code]],ProductLookupTable[[#All],[Product_Name]],"NOT FOUND")</f>
        <v>Portable HDD 2TB</v>
      </c>
      <c r="O78" t="str" cm="1">
        <f t="array" ref="O78">_xlfn.XLOOKUP(RawSalesTable5[[#This Row],[Product_Code]],ProductLookupTable[[#All],[Product_Code]],ProductLookupTable[[#All],[Category]],"NOT FOUND")</f>
        <v>Storage</v>
      </c>
      <c r="P78" cm="1">
        <f t="array" ref="P78">_xlfn.XLOOKUP(RawSalesTable5[[#This Row],[Product_Code]],ProductLookupTable[[#All],[Product_Code]],ProductLookupTable[[#All],[Unit_Price]],"NOT FOUND")</f>
        <v>5899</v>
      </c>
      <c r="Q78" t="str">
        <f>IF(COUNTIF(ProductLookupTable[Product_Code],RawSalesTable5[[#This Row],[Product_Code]])=0,"Missing Product","OK")</f>
        <v>OK</v>
      </c>
      <c r="R78" cm="1">
        <f t="array" ref="R78">_xlfn.XLOOKUP(RawSalesTable5[[#This Row],[Product_Code]],ProductLookupTable[[#All],[Product_Code]],ProductLookupTable[[#All],[Unit_Cost]],"NOT FOUND")</f>
        <v>4100</v>
      </c>
      <c r="S78">
        <f>IFERROR(RawSalesTable5[[#This Row],[Quantity]]*RawSalesTable5[[#This Row],[Unit_Price]],"NOT FOUND")</f>
        <v>5899</v>
      </c>
      <c r="T78">
        <f>IFERROR(RawSalesTable5[[#This Row],[Gross_Revenue]]*RawSalesTable5[[#This Row],[Discount_Pct]],"NOT FOUND")</f>
        <v>589.9</v>
      </c>
      <c r="U78">
        <f>IFERROR(RawSalesTable5[[#This Row],[Gross_Revenue]]-RawSalesTable5[[#This Row],[Discount_Value]],"NOT FOUND")</f>
        <v>5309.1</v>
      </c>
      <c r="V78">
        <f>IFERROR(RawSalesTable5[[#This Row],[Quantity]]*RawSalesTable5[[#This Row],[Unit_Cost]],"NOT FOUND")</f>
        <v>4100</v>
      </c>
      <c r="W78">
        <f>IFERROR(RawSalesTable5[[#This Row],[Net_Revenue]]-RawSalesTable5[[#This Row],[Cost]],"NOT FOUND")</f>
        <v>1209.1000000000004</v>
      </c>
      <c r="X78" s="27">
        <f>IF(RawSalesTable5[[#This Row],[Lookup_Status]]="Missing Product","",IFERROR(RawSalesTable5[[#This Row],[Profit]]/RawSalesTable5[[#This Row],[Net_Revenue]],0))</f>
        <v>0.22774104838861584</v>
      </c>
      <c r="Y78">
        <f>RawSalesTable5[[#This Row],[Ship_Date]]-RawSalesTable5[[#This Row],[Order_Date]]</f>
        <v>2</v>
      </c>
      <c r="Z78" s="28">
        <f>DATE(YEAR(RawSalesTable5[[#This Row],[Order_Date]]),MONTH(RawSalesTable5[[#This Row],[Order_Date]]),1)</f>
        <v>45901</v>
      </c>
      <c r="AA78" t="str" cm="1">
        <f t="array" ref="AA78">IF(RawSalesTable5[[#This Row],[Lookup_Status]]="Missing Product","",_xlfn.IFS(RawSalesTable5[[#This Row],[Net_Revenue]]&gt;=20000,"High",RawSalesTable5[[#This Row],[Net_Revenue]]&gt;=10000,"Medium",TRUE,"Low"))</f>
        <v>Low</v>
      </c>
    </row>
    <row r="79" spans="1:27">
      <c r="A79" t="s">
        <v>210</v>
      </c>
      <c r="B79" s="15">
        <v>45766</v>
      </c>
      <c r="C79" s="15">
        <v>45773</v>
      </c>
      <c r="D79" t="s">
        <v>157</v>
      </c>
      <c r="E79" t="s">
        <v>111</v>
      </c>
      <c r="F79" t="s">
        <v>115</v>
      </c>
      <c r="G79" t="s">
        <v>125</v>
      </c>
      <c r="H79" t="s">
        <v>103</v>
      </c>
      <c r="I79" s="17">
        <v>3</v>
      </c>
      <c r="J79" s="16">
        <v>0.1</v>
      </c>
      <c r="K79" t="s">
        <v>95</v>
      </c>
      <c r="L79" t="s">
        <v>89</v>
      </c>
      <c r="M79" s="17">
        <v>3</v>
      </c>
      <c r="N79" t="str" cm="1">
        <f t="array" ref="N79">_xlfn.XLOOKUP(RawSalesTable5[[#This Row],[Product_Code]],ProductLookupTable[[#All],[Product_Code]],ProductLookupTable[[#All],[Product_Name]],"NOT FOUND")</f>
        <v>USB-C Hub</v>
      </c>
      <c r="O79" t="str" cm="1">
        <f t="array" ref="O79">_xlfn.XLOOKUP(RawSalesTable5[[#This Row],[Product_Code]],ProductLookupTable[[#All],[Product_Code]],ProductLookupTable[[#All],[Category]],"NOT FOUND")</f>
        <v>Accessories</v>
      </c>
      <c r="P79" cm="1">
        <f t="array" ref="P79">_xlfn.XLOOKUP(RawSalesTable5[[#This Row],[Product_Code]],ProductLookupTable[[#All],[Product_Code]],ProductLookupTable[[#All],[Unit_Price]],"NOT FOUND")</f>
        <v>1599</v>
      </c>
      <c r="Q79" t="str">
        <f>IF(COUNTIF(ProductLookupTable[Product_Code],RawSalesTable5[[#This Row],[Product_Code]])=0,"Missing Product","OK")</f>
        <v>OK</v>
      </c>
      <c r="R79" cm="1">
        <f t="array" ref="R79">_xlfn.XLOOKUP(RawSalesTable5[[#This Row],[Product_Code]],ProductLookupTable[[#All],[Product_Code]],ProductLookupTable[[#All],[Unit_Cost]],"NOT FOUND")</f>
        <v>870</v>
      </c>
      <c r="S79">
        <f>IFERROR(RawSalesTable5[[#This Row],[Quantity]]*RawSalesTable5[[#This Row],[Unit_Price]],"NOT FOUND")</f>
        <v>4797</v>
      </c>
      <c r="T79">
        <f>IFERROR(RawSalesTable5[[#This Row],[Gross_Revenue]]*RawSalesTable5[[#This Row],[Discount_Pct]],"NOT FOUND")</f>
        <v>479.70000000000005</v>
      </c>
      <c r="U79">
        <f>IFERROR(RawSalesTable5[[#This Row],[Gross_Revenue]]-RawSalesTable5[[#This Row],[Discount_Value]],"NOT FOUND")</f>
        <v>4317.3</v>
      </c>
      <c r="V79">
        <f>IFERROR(RawSalesTable5[[#This Row],[Quantity]]*RawSalesTable5[[#This Row],[Unit_Cost]],"NOT FOUND")</f>
        <v>2610</v>
      </c>
      <c r="W79">
        <f>IFERROR(RawSalesTable5[[#This Row],[Net_Revenue]]-RawSalesTable5[[#This Row],[Cost]],"NOT FOUND")</f>
        <v>1707.3000000000002</v>
      </c>
      <c r="X79" s="27">
        <f>IF(RawSalesTable5[[#This Row],[Lookup_Status]]="Missing Product","",IFERROR(RawSalesTable5[[#This Row],[Profit]]/RawSalesTable5[[#This Row],[Net_Revenue]],0))</f>
        <v>0.39545549301646865</v>
      </c>
      <c r="Y79">
        <f>RawSalesTable5[[#This Row],[Ship_Date]]-RawSalesTable5[[#This Row],[Order_Date]]</f>
        <v>7</v>
      </c>
      <c r="Z79" s="28">
        <f>DATE(YEAR(RawSalesTable5[[#This Row],[Order_Date]]),MONTH(RawSalesTable5[[#This Row],[Order_Date]]),1)</f>
        <v>45748</v>
      </c>
      <c r="AA79" t="str" cm="1">
        <f t="array" ref="AA79">IF(RawSalesTable5[[#This Row],[Lookup_Status]]="Missing Product","",_xlfn.IFS(RawSalesTable5[[#This Row],[Net_Revenue]]&gt;=20000,"High",RawSalesTable5[[#This Row],[Net_Revenue]]&gt;=10000,"Medium",TRUE,"Low"))</f>
        <v>Low</v>
      </c>
    </row>
    <row r="80" spans="1:27">
      <c r="A80" t="s">
        <v>211</v>
      </c>
      <c r="B80" s="15">
        <v>45791</v>
      </c>
      <c r="C80" s="15">
        <v>45795</v>
      </c>
      <c r="D80" t="s">
        <v>212</v>
      </c>
      <c r="E80" t="s">
        <v>84</v>
      </c>
      <c r="F80" t="s">
        <v>107</v>
      </c>
      <c r="G80" t="s">
        <v>86</v>
      </c>
      <c r="H80" t="s">
        <v>86</v>
      </c>
      <c r="I80" s="17">
        <v>1</v>
      </c>
      <c r="J80" s="16">
        <v>0.1</v>
      </c>
      <c r="K80" t="s">
        <v>95</v>
      </c>
      <c r="L80" t="s">
        <v>126</v>
      </c>
      <c r="M80" s="17">
        <v>1</v>
      </c>
      <c r="N80" t="str" cm="1">
        <f t="array" ref="N80">_xlfn.XLOOKUP(RawSalesTable5[[#This Row],[Product_Code]],ProductLookupTable[[#All],[Product_Code]],ProductLookupTable[[#All],[Product_Name]],"NOT FOUND")</f>
        <v>Bluetooth Speaker</v>
      </c>
      <c r="O80" t="str" cm="1">
        <f t="array" ref="O80">_xlfn.XLOOKUP(RawSalesTable5[[#This Row],[Product_Code]],ProductLookupTable[[#All],[Product_Code]],ProductLookupTable[[#All],[Category]],"NOT FOUND")</f>
        <v>Audio</v>
      </c>
      <c r="P80" cm="1">
        <f t="array" ref="P80">_xlfn.XLOOKUP(RawSalesTable5[[#This Row],[Product_Code]],ProductLookupTable[[#All],[Product_Code]],ProductLookupTable[[#All],[Unit_Price]],"NOT FOUND")</f>
        <v>2799</v>
      </c>
      <c r="Q80" t="str">
        <f>IF(COUNTIF(ProductLookupTable[Product_Code],RawSalesTable5[[#This Row],[Product_Code]])=0,"Missing Product","OK")</f>
        <v>OK</v>
      </c>
      <c r="R80" cm="1">
        <f t="array" ref="R80">_xlfn.XLOOKUP(RawSalesTable5[[#This Row],[Product_Code]],ProductLookupTable[[#All],[Product_Code]],ProductLookupTable[[#All],[Unit_Cost]],"NOT FOUND")</f>
        <v>1650</v>
      </c>
      <c r="S80">
        <f>IFERROR(RawSalesTable5[[#This Row],[Quantity]]*RawSalesTable5[[#This Row],[Unit_Price]],"NOT FOUND")</f>
        <v>2799</v>
      </c>
      <c r="T80">
        <f>IFERROR(RawSalesTable5[[#This Row],[Gross_Revenue]]*RawSalesTable5[[#This Row],[Discount_Pct]],"NOT FOUND")</f>
        <v>279.90000000000003</v>
      </c>
      <c r="U80">
        <f>IFERROR(RawSalesTable5[[#This Row],[Gross_Revenue]]-RawSalesTable5[[#This Row],[Discount_Value]],"NOT FOUND")</f>
        <v>2519.1</v>
      </c>
      <c r="V80">
        <f>IFERROR(RawSalesTable5[[#This Row],[Quantity]]*RawSalesTable5[[#This Row],[Unit_Cost]],"NOT FOUND")</f>
        <v>1650</v>
      </c>
      <c r="W80">
        <f>IFERROR(RawSalesTable5[[#This Row],[Net_Revenue]]-RawSalesTable5[[#This Row],[Cost]],"NOT FOUND")</f>
        <v>869.09999999999991</v>
      </c>
      <c r="X80" s="27">
        <f>IF(RawSalesTable5[[#This Row],[Lookup_Status]]="Missing Product","",IFERROR(RawSalesTable5[[#This Row],[Profit]]/RawSalesTable5[[#This Row],[Net_Revenue]],0))</f>
        <v>0.34500416815529356</v>
      </c>
      <c r="Y80">
        <f>RawSalesTable5[[#This Row],[Ship_Date]]-RawSalesTable5[[#This Row],[Order_Date]]</f>
        <v>4</v>
      </c>
      <c r="Z80" s="28">
        <f>DATE(YEAR(RawSalesTable5[[#This Row],[Order_Date]]),MONTH(RawSalesTable5[[#This Row],[Order_Date]]),1)</f>
        <v>45778</v>
      </c>
      <c r="AA80" t="str" cm="1">
        <f t="array" ref="AA80">IF(RawSalesTable5[[#This Row],[Lookup_Status]]="Missing Product","",_xlfn.IFS(RawSalesTable5[[#This Row],[Net_Revenue]]&gt;=20000,"High",RawSalesTable5[[#This Row],[Net_Revenue]]&gt;=10000,"Medium",TRUE,"Low"))</f>
        <v>Low</v>
      </c>
    </row>
    <row r="81" spans="1:27">
      <c r="A81" t="s">
        <v>213</v>
      </c>
      <c r="B81" s="15">
        <v>45814</v>
      </c>
      <c r="C81" s="15">
        <v>45816</v>
      </c>
      <c r="D81" t="s">
        <v>123</v>
      </c>
      <c r="E81" t="s">
        <v>92</v>
      </c>
      <c r="F81" t="s">
        <v>93</v>
      </c>
      <c r="G81" t="s">
        <v>86</v>
      </c>
      <c r="H81" t="s">
        <v>86</v>
      </c>
      <c r="I81" s="17">
        <v>5</v>
      </c>
      <c r="J81" s="16">
        <v>0.05</v>
      </c>
      <c r="K81" t="s">
        <v>112</v>
      </c>
      <c r="L81" t="s">
        <v>89</v>
      </c>
      <c r="M81" s="17">
        <v>3</v>
      </c>
      <c r="N81" t="str" cm="1">
        <f t="array" ref="N81">_xlfn.XLOOKUP(RawSalesTable5[[#This Row],[Product_Code]],ProductLookupTable[[#All],[Product_Code]],ProductLookupTable[[#All],[Product_Name]],"NOT FOUND")</f>
        <v>Wireless Headset</v>
      </c>
      <c r="O81" t="str" cm="1">
        <f t="array" ref="O81">_xlfn.XLOOKUP(RawSalesTable5[[#This Row],[Product_Code]],ProductLookupTable[[#All],[Product_Code]],ProductLookupTable[[#All],[Category]],"NOT FOUND")</f>
        <v>Audio</v>
      </c>
      <c r="P81" cm="1">
        <f t="array" ref="P81">_xlfn.XLOOKUP(RawSalesTable5[[#This Row],[Product_Code]],ProductLookupTable[[#All],[Product_Code]],ProductLookupTable[[#All],[Unit_Price]],"NOT FOUND")</f>
        <v>3499</v>
      </c>
      <c r="Q81" t="str">
        <f>IF(COUNTIF(ProductLookupTable[Product_Code],RawSalesTable5[[#This Row],[Product_Code]])=0,"Missing Product","OK")</f>
        <v>OK</v>
      </c>
      <c r="R81" cm="1">
        <f t="array" ref="R81">_xlfn.XLOOKUP(RawSalesTable5[[#This Row],[Product_Code]],ProductLookupTable[[#All],[Product_Code]],ProductLookupTable[[#All],[Unit_Cost]],"NOT FOUND")</f>
        <v>2100</v>
      </c>
      <c r="S81">
        <f>IFERROR(RawSalesTable5[[#This Row],[Quantity]]*RawSalesTable5[[#This Row],[Unit_Price]],"NOT FOUND")</f>
        <v>17495</v>
      </c>
      <c r="T81">
        <f>IFERROR(RawSalesTable5[[#This Row],[Gross_Revenue]]*RawSalesTable5[[#This Row],[Discount_Pct]],"NOT FOUND")</f>
        <v>874.75</v>
      </c>
      <c r="U81">
        <f>IFERROR(RawSalesTable5[[#This Row],[Gross_Revenue]]-RawSalesTable5[[#This Row],[Discount_Value]],"NOT FOUND")</f>
        <v>16620.25</v>
      </c>
      <c r="V81">
        <f>IFERROR(RawSalesTable5[[#This Row],[Quantity]]*RawSalesTable5[[#This Row],[Unit_Cost]],"NOT FOUND")</f>
        <v>10500</v>
      </c>
      <c r="W81">
        <f>IFERROR(RawSalesTable5[[#This Row],[Net_Revenue]]-RawSalesTable5[[#This Row],[Cost]],"NOT FOUND")</f>
        <v>6120.25</v>
      </c>
      <c r="X81" s="27">
        <f>IF(RawSalesTable5[[#This Row],[Lookup_Status]]="Missing Product","",IFERROR(RawSalesTable5[[#This Row],[Profit]]/RawSalesTable5[[#This Row],[Net_Revenue]],0))</f>
        <v>0.36824054993155941</v>
      </c>
      <c r="Y81">
        <f>RawSalesTable5[[#This Row],[Ship_Date]]-RawSalesTable5[[#This Row],[Order_Date]]</f>
        <v>2</v>
      </c>
      <c r="Z81" s="28">
        <f>DATE(YEAR(RawSalesTable5[[#This Row],[Order_Date]]),MONTH(RawSalesTable5[[#This Row],[Order_Date]]),1)</f>
        <v>45809</v>
      </c>
      <c r="AA81" t="str" cm="1">
        <f t="array" ref="AA81">IF(RawSalesTable5[[#This Row],[Lookup_Status]]="Missing Product","",_xlfn.IFS(RawSalesTable5[[#This Row],[Net_Revenue]]&gt;=20000,"High",RawSalesTable5[[#This Row],[Net_Revenue]]&gt;=10000,"Medium",TRUE,"Low"))</f>
        <v>Medium</v>
      </c>
    </row>
    <row r="82" spans="1:27">
      <c r="A82" t="s">
        <v>214</v>
      </c>
      <c r="B82" s="15">
        <v>45760</v>
      </c>
      <c r="C82" s="15">
        <v>45762</v>
      </c>
      <c r="D82" t="s">
        <v>83</v>
      </c>
      <c r="E82" t="s">
        <v>98</v>
      </c>
      <c r="F82" t="s">
        <v>121</v>
      </c>
      <c r="G82" t="s">
        <v>125</v>
      </c>
      <c r="H82" t="s">
        <v>87</v>
      </c>
      <c r="I82" s="17">
        <v>5</v>
      </c>
      <c r="J82" s="16">
        <v>0</v>
      </c>
      <c r="K82" t="s">
        <v>88</v>
      </c>
      <c r="L82" t="s">
        <v>89</v>
      </c>
      <c r="M82" s="17">
        <v>3</v>
      </c>
      <c r="N82" t="str" cm="1">
        <f t="array" ref="N82">_xlfn.XLOOKUP(RawSalesTable5[[#This Row],[Product_Code]],ProductLookupTable[[#All],[Product_Code]],ProductLookupTable[[#All],[Product_Name]],"NOT FOUND")</f>
        <v>HD Webcam</v>
      </c>
      <c r="O82" t="str" cm="1">
        <f t="array" ref="O82">_xlfn.XLOOKUP(RawSalesTable5[[#This Row],[Product_Code]],ProductLookupTable[[#All],[Product_Code]],ProductLookupTable[[#All],[Category]],"NOT FOUND")</f>
        <v>Accessories</v>
      </c>
      <c r="P82" cm="1">
        <f t="array" ref="P82">_xlfn.XLOOKUP(RawSalesTable5[[#This Row],[Product_Code]],ProductLookupTable[[#All],[Product_Code]],ProductLookupTable[[#All],[Unit_Price]],"NOT FOUND")</f>
        <v>2899</v>
      </c>
      <c r="Q82" t="str">
        <f>IF(COUNTIF(ProductLookupTable[Product_Code],RawSalesTable5[[#This Row],[Product_Code]])=0,"Missing Product","OK")</f>
        <v>OK</v>
      </c>
      <c r="R82" cm="1">
        <f t="array" ref="R82">_xlfn.XLOOKUP(RawSalesTable5[[#This Row],[Product_Code]],ProductLookupTable[[#All],[Product_Code]],ProductLookupTable[[#All],[Unit_Cost]],"NOT FOUND")</f>
        <v>1700</v>
      </c>
      <c r="S82">
        <f>IFERROR(RawSalesTable5[[#This Row],[Quantity]]*RawSalesTable5[[#This Row],[Unit_Price]],"NOT FOUND")</f>
        <v>14495</v>
      </c>
      <c r="T82">
        <f>IFERROR(RawSalesTable5[[#This Row],[Gross_Revenue]]*RawSalesTable5[[#This Row],[Discount_Pct]],"NOT FOUND")</f>
        <v>0</v>
      </c>
      <c r="U82">
        <f>IFERROR(RawSalesTable5[[#This Row],[Gross_Revenue]]-RawSalesTable5[[#This Row],[Discount_Value]],"NOT FOUND")</f>
        <v>14495</v>
      </c>
      <c r="V82">
        <f>IFERROR(RawSalesTable5[[#This Row],[Quantity]]*RawSalesTable5[[#This Row],[Unit_Cost]],"NOT FOUND")</f>
        <v>8500</v>
      </c>
      <c r="W82">
        <f>IFERROR(RawSalesTable5[[#This Row],[Net_Revenue]]-RawSalesTable5[[#This Row],[Cost]],"NOT FOUND")</f>
        <v>5995</v>
      </c>
      <c r="X82" s="27">
        <f>IF(RawSalesTable5[[#This Row],[Lookup_Status]]="Missing Product","",IFERROR(RawSalesTable5[[#This Row],[Profit]]/RawSalesTable5[[#This Row],[Net_Revenue]],0))</f>
        <v>0.41359089341152122</v>
      </c>
      <c r="Y82">
        <f>RawSalesTable5[[#This Row],[Ship_Date]]-RawSalesTable5[[#This Row],[Order_Date]]</f>
        <v>2</v>
      </c>
      <c r="Z82" s="28">
        <f>DATE(YEAR(RawSalesTable5[[#This Row],[Order_Date]]),MONTH(RawSalesTable5[[#This Row],[Order_Date]]),1)</f>
        <v>45748</v>
      </c>
      <c r="AA82" t="str" cm="1">
        <f t="array" ref="AA82">IF(RawSalesTable5[[#This Row],[Lookup_Status]]="Missing Product","",_xlfn.IFS(RawSalesTable5[[#This Row],[Net_Revenue]]&gt;=20000,"High",RawSalesTable5[[#This Row],[Net_Revenue]]&gt;=10000,"Medium",TRUE,"Low"))</f>
        <v>Medium</v>
      </c>
    </row>
    <row r="83" spans="1:27">
      <c r="A83" t="s">
        <v>215</v>
      </c>
      <c r="B83" s="15">
        <v>45798</v>
      </c>
      <c r="C83" s="15">
        <v>45801</v>
      </c>
      <c r="D83" t="s">
        <v>114</v>
      </c>
      <c r="E83" t="s">
        <v>101</v>
      </c>
      <c r="F83" t="s">
        <v>85</v>
      </c>
      <c r="G83" t="s">
        <v>108</v>
      </c>
      <c r="H83" t="s">
        <v>103</v>
      </c>
      <c r="I83" s="17">
        <v>3</v>
      </c>
      <c r="J83" s="16">
        <v>0</v>
      </c>
      <c r="K83" t="s">
        <v>140</v>
      </c>
      <c r="L83" t="s">
        <v>89</v>
      </c>
      <c r="M83" s="17">
        <v>4</v>
      </c>
      <c r="N83" t="str" cm="1">
        <f t="array" ref="N83">_xlfn.XLOOKUP(RawSalesTable5[[#This Row],[Product_Code]],ProductLookupTable[[#All],[Product_Code]],ProductLookupTable[[#All],[Product_Name]],"NOT FOUND")</f>
        <v>Ergonomic Chair</v>
      </c>
      <c r="O83" t="str" cm="1">
        <f t="array" ref="O83">_xlfn.XLOOKUP(RawSalesTable5[[#This Row],[Product_Code]],ProductLookupTable[[#All],[Product_Code]],ProductLookupTable[[#All],[Category]],"NOT FOUND")</f>
        <v>Furniture</v>
      </c>
      <c r="P83" cm="1">
        <f t="array" ref="P83">_xlfn.XLOOKUP(RawSalesTable5[[#This Row],[Product_Code]],ProductLookupTable[[#All],[Product_Code]],ProductLookupTable[[#All],[Unit_Price]],"NOT FOUND")</f>
        <v>10499</v>
      </c>
      <c r="Q83" t="str">
        <f>IF(COUNTIF(ProductLookupTable[Product_Code],RawSalesTable5[[#This Row],[Product_Code]])=0,"Missing Product","OK")</f>
        <v>OK</v>
      </c>
      <c r="R83" cm="1">
        <f t="array" ref="R83">_xlfn.XLOOKUP(RawSalesTable5[[#This Row],[Product_Code]],ProductLookupTable[[#All],[Product_Code]],ProductLookupTable[[#All],[Unit_Cost]],"NOT FOUND")</f>
        <v>7600</v>
      </c>
      <c r="S83">
        <f>IFERROR(RawSalesTable5[[#This Row],[Quantity]]*RawSalesTable5[[#This Row],[Unit_Price]],"NOT FOUND")</f>
        <v>31497</v>
      </c>
      <c r="T83">
        <f>IFERROR(RawSalesTable5[[#This Row],[Gross_Revenue]]*RawSalesTable5[[#This Row],[Discount_Pct]],"NOT FOUND")</f>
        <v>0</v>
      </c>
      <c r="U83">
        <f>IFERROR(RawSalesTable5[[#This Row],[Gross_Revenue]]-RawSalesTable5[[#This Row],[Discount_Value]],"NOT FOUND")</f>
        <v>31497</v>
      </c>
      <c r="V83">
        <f>IFERROR(RawSalesTable5[[#This Row],[Quantity]]*RawSalesTable5[[#This Row],[Unit_Cost]],"NOT FOUND")</f>
        <v>22800</v>
      </c>
      <c r="W83">
        <f>IFERROR(RawSalesTable5[[#This Row],[Net_Revenue]]-RawSalesTable5[[#This Row],[Cost]],"NOT FOUND")</f>
        <v>8697</v>
      </c>
      <c r="X83" s="27">
        <f>IF(RawSalesTable5[[#This Row],[Lookup_Status]]="Missing Product","",IFERROR(RawSalesTable5[[#This Row],[Profit]]/RawSalesTable5[[#This Row],[Net_Revenue]],0))</f>
        <v>0.27612153538432233</v>
      </c>
      <c r="Y83">
        <f>RawSalesTable5[[#This Row],[Ship_Date]]-RawSalesTable5[[#This Row],[Order_Date]]</f>
        <v>3</v>
      </c>
      <c r="Z83" s="28">
        <f>DATE(YEAR(RawSalesTable5[[#This Row],[Order_Date]]),MONTH(RawSalesTable5[[#This Row],[Order_Date]]),1)</f>
        <v>45778</v>
      </c>
      <c r="AA83" t="str" cm="1">
        <f t="array" ref="AA83">IF(RawSalesTable5[[#This Row],[Lookup_Status]]="Missing Product","",_xlfn.IFS(RawSalesTable5[[#This Row],[Net_Revenue]]&gt;=20000,"High",RawSalesTable5[[#This Row],[Net_Revenue]]&gt;=10000,"Medium",TRUE,"Low"))</f>
        <v>High</v>
      </c>
    </row>
    <row r="84" spans="1:27">
      <c r="A84" t="s">
        <v>216</v>
      </c>
      <c r="B84" s="15">
        <v>45689</v>
      </c>
      <c r="C84" s="15">
        <v>45696</v>
      </c>
      <c r="D84" t="s">
        <v>157</v>
      </c>
      <c r="E84" t="s">
        <v>106</v>
      </c>
      <c r="F84" t="s">
        <v>124</v>
      </c>
      <c r="G84" t="s">
        <v>86</v>
      </c>
      <c r="H84" t="s">
        <v>87</v>
      </c>
      <c r="I84" s="17">
        <v>5</v>
      </c>
      <c r="J84" s="16">
        <v>0.15</v>
      </c>
      <c r="K84" t="s">
        <v>95</v>
      </c>
      <c r="L84" t="s">
        <v>89</v>
      </c>
      <c r="M84" s="17">
        <v>4</v>
      </c>
      <c r="N84" t="str" cm="1">
        <f t="array" ref="N84">_xlfn.XLOOKUP(RawSalesTable5[[#This Row],[Product_Code]],ProductLookupTable[[#All],[Product_Code]],ProductLookupTable[[#All],[Product_Name]],"NOT FOUND")</f>
        <v>Wireless Mouse</v>
      </c>
      <c r="O84" t="str" cm="1">
        <f t="array" ref="O84">_xlfn.XLOOKUP(RawSalesTable5[[#This Row],[Product_Code]],ProductLookupTable[[#All],[Product_Code]],ProductLookupTable[[#All],[Category]],"NOT FOUND")</f>
        <v>Accessories</v>
      </c>
      <c r="P84" cm="1">
        <f t="array" ref="P84">_xlfn.XLOOKUP(RawSalesTable5[[#This Row],[Product_Code]],ProductLookupTable[[#All],[Product_Code]],ProductLookupTable[[#All],[Unit_Price]],"NOT FOUND")</f>
        <v>799</v>
      </c>
      <c r="Q84" t="str">
        <f>IF(COUNTIF(ProductLookupTable[Product_Code],RawSalesTable5[[#This Row],[Product_Code]])=0,"Missing Product","OK")</f>
        <v>OK</v>
      </c>
      <c r="R84" cm="1">
        <f t="array" ref="R84">_xlfn.XLOOKUP(RawSalesTable5[[#This Row],[Product_Code]],ProductLookupTable[[#All],[Product_Code]],ProductLookupTable[[#All],[Unit_Cost]],"NOT FOUND")</f>
        <v>420</v>
      </c>
      <c r="S84">
        <f>IFERROR(RawSalesTable5[[#This Row],[Quantity]]*RawSalesTable5[[#This Row],[Unit_Price]],"NOT FOUND")</f>
        <v>3995</v>
      </c>
      <c r="T84">
        <f>IFERROR(RawSalesTable5[[#This Row],[Gross_Revenue]]*RawSalesTable5[[#This Row],[Discount_Pct]],"NOT FOUND")</f>
        <v>599.25</v>
      </c>
      <c r="U84">
        <f>IFERROR(RawSalesTable5[[#This Row],[Gross_Revenue]]-RawSalesTable5[[#This Row],[Discount_Value]],"NOT FOUND")</f>
        <v>3395.75</v>
      </c>
      <c r="V84">
        <f>IFERROR(RawSalesTable5[[#This Row],[Quantity]]*RawSalesTable5[[#This Row],[Unit_Cost]],"NOT FOUND")</f>
        <v>2100</v>
      </c>
      <c r="W84">
        <f>IFERROR(RawSalesTable5[[#This Row],[Net_Revenue]]-RawSalesTable5[[#This Row],[Cost]],"NOT FOUND")</f>
        <v>1295.75</v>
      </c>
      <c r="X84" s="27">
        <f>IF(RawSalesTable5[[#This Row],[Lookup_Status]]="Missing Product","",IFERROR(RawSalesTable5[[#This Row],[Profit]]/RawSalesTable5[[#This Row],[Net_Revenue]],0))</f>
        <v>0.38157991607156005</v>
      </c>
      <c r="Y84">
        <f>RawSalesTable5[[#This Row],[Ship_Date]]-RawSalesTable5[[#This Row],[Order_Date]]</f>
        <v>7</v>
      </c>
      <c r="Z84" s="28">
        <f>DATE(YEAR(RawSalesTable5[[#This Row],[Order_Date]]),MONTH(RawSalesTable5[[#This Row],[Order_Date]]),1)</f>
        <v>45689</v>
      </c>
      <c r="AA84" t="str" cm="1">
        <f t="array" ref="AA84">IF(RawSalesTable5[[#This Row],[Lookup_Status]]="Missing Product","",_xlfn.IFS(RawSalesTable5[[#This Row],[Net_Revenue]]&gt;=20000,"High",RawSalesTable5[[#This Row],[Net_Revenue]]&gt;=10000,"Medium",TRUE,"Low"))</f>
        <v>Low</v>
      </c>
    </row>
    <row r="85" spans="1:27">
      <c r="A85" t="s">
        <v>217</v>
      </c>
      <c r="B85" s="15">
        <v>45925</v>
      </c>
      <c r="C85" s="15">
        <v>45932</v>
      </c>
      <c r="D85" t="s">
        <v>212</v>
      </c>
      <c r="E85" t="s">
        <v>111</v>
      </c>
      <c r="F85" t="s">
        <v>121</v>
      </c>
      <c r="G85" t="s">
        <v>94</v>
      </c>
      <c r="H85" t="s">
        <v>103</v>
      </c>
      <c r="I85" s="17">
        <v>4</v>
      </c>
      <c r="J85" s="16">
        <v>0</v>
      </c>
      <c r="K85" t="s">
        <v>88</v>
      </c>
      <c r="L85" t="s">
        <v>89</v>
      </c>
      <c r="M85" s="17">
        <v>4</v>
      </c>
      <c r="N85" t="str" cm="1">
        <f t="array" ref="N85">_xlfn.XLOOKUP(RawSalesTable5[[#This Row],[Product_Code]],ProductLookupTable[[#All],[Product_Code]],ProductLookupTable[[#All],[Product_Name]],"NOT FOUND")</f>
        <v>HD Webcam</v>
      </c>
      <c r="O85" t="str" cm="1">
        <f t="array" ref="O85">_xlfn.XLOOKUP(RawSalesTable5[[#This Row],[Product_Code]],ProductLookupTable[[#All],[Product_Code]],ProductLookupTable[[#All],[Category]],"NOT FOUND")</f>
        <v>Accessories</v>
      </c>
      <c r="P85" cm="1">
        <f t="array" ref="P85">_xlfn.XLOOKUP(RawSalesTable5[[#This Row],[Product_Code]],ProductLookupTable[[#All],[Product_Code]],ProductLookupTable[[#All],[Unit_Price]],"NOT FOUND")</f>
        <v>2899</v>
      </c>
      <c r="Q85" t="str">
        <f>IF(COUNTIF(ProductLookupTable[Product_Code],RawSalesTable5[[#This Row],[Product_Code]])=0,"Missing Product","OK")</f>
        <v>OK</v>
      </c>
      <c r="R85" cm="1">
        <f t="array" ref="R85">_xlfn.XLOOKUP(RawSalesTable5[[#This Row],[Product_Code]],ProductLookupTable[[#All],[Product_Code]],ProductLookupTable[[#All],[Unit_Cost]],"NOT FOUND")</f>
        <v>1700</v>
      </c>
      <c r="S85">
        <f>IFERROR(RawSalesTable5[[#This Row],[Quantity]]*RawSalesTable5[[#This Row],[Unit_Price]],"NOT FOUND")</f>
        <v>11596</v>
      </c>
      <c r="T85">
        <f>IFERROR(RawSalesTable5[[#This Row],[Gross_Revenue]]*RawSalesTable5[[#This Row],[Discount_Pct]],"NOT FOUND")</f>
        <v>0</v>
      </c>
      <c r="U85">
        <f>IFERROR(RawSalesTable5[[#This Row],[Gross_Revenue]]-RawSalesTable5[[#This Row],[Discount_Value]],"NOT FOUND")</f>
        <v>11596</v>
      </c>
      <c r="V85">
        <f>IFERROR(RawSalesTable5[[#This Row],[Quantity]]*RawSalesTable5[[#This Row],[Unit_Cost]],"NOT FOUND")</f>
        <v>6800</v>
      </c>
      <c r="W85">
        <f>IFERROR(RawSalesTable5[[#This Row],[Net_Revenue]]-RawSalesTable5[[#This Row],[Cost]],"NOT FOUND")</f>
        <v>4796</v>
      </c>
      <c r="X85" s="27">
        <f>IF(RawSalesTable5[[#This Row],[Lookup_Status]]="Missing Product","",IFERROR(RawSalesTable5[[#This Row],[Profit]]/RawSalesTable5[[#This Row],[Net_Revenue]],0))</f>
        <v>0.41359089341152122</v>
      </c>
      <c r="Y85">
        <f>RawSalesTable5[[#This Row],[Ship_Date]]-RawSalesTable5[[#This Row],[Order_Date]]</f>
        <v>7</v>
      </c>
      <c r="Z85" s="28">
        <f>DATE(YEAR(RawSalesTable5[[#This Row],[Order_Date]]),MONTH(RawSalesTable5[[#This Row],[Order_Date]]),1)</f>
        <v>45901</v>
      </c>
      <c r="AA85" t="str" cm="1">
        <f t="array" ref="AA85">IF(RawSalesTable5[[#This Row],[Lookup_Status]]="Missing Product","",_xlfn.IFS(RawSalesTable5[[#This Row],[Net_Revenue]]&gt;=20000,"High",RawSalesTable5[[#This Row],[Net_Revenue]]&gt;=10000,"Medium",TRUE,"Low"))</f>
        <v>Medium</v>
      </c>
    </row>
    <row r="86" spans="1:27">
      <c r="A86" t="s">
        <v>218</v>
      </c>
      <c r="B86" s="15">
        <v>45967</v>
      </c>
      <c r="C86" s="15">
        <v>45975</v>
      </c>
      <c r="D86" t="s">
        <v>123</v>
      </c>
      <c r="E86" t="s">
        <v>84</v>
      </c>
      <c r="F86" t="s">
        <v>138</v>
      </c>
      <c r="G86" t="s">
        <v>125</v>
      </c>
      <c r="H86" t="s">
        <v>103</v>
      </c>
      <c r="I86" s="17">
        <v>2</v>
      </c>
      <c r="J86" s="16">
        <v>0</v>
      </c>
      <c r="K86" t="s">
        <v>140</v>
      </c>
      <c r="L86" t="s">
        <v>89</v>
      </c>
      <c r="M86" s="17">
        <v>4</v>
      </c>
      <c r="N86" t="str" cm="1">
        <f t="array" ref="N86">_xlfn.XLOOKUP(RawSalesTable5[[#This Row],[Product_Code]],ProductLookupTable[[#All],[Product_Code]],ProductLookupTable[[#All],[Product_Name]],"NOT FOUND")</f>
        <v>24-inch Monitor</v>
      </c>
      <c r="O86" t="str" cm="1">
        <f t="array" ref="O86">_xlfn.XLOOKUP(RawSalesTable5[[#This Row],[Product_Code]],ProductLookupTable[[#All],[Product_Code]],ProductLookupTable[[#All],[Category]],"NOT FOUND")</f>
        <v>Displays</v>
      </c>
      <c r="P86" cm="1">
        <f t="array" ref="P86">_xlfn.XLOOKUP(RawSalesTable5[[#This Row],[Product_Code]],ProductLookupTable[[#All],[Product_Code]],ProductLookupTable[[#All],[Unit_Price]],"NOT FOUND")</f>
        <v>12999</v>
      </c>
      <c r="Q86" t="str">
        <f>IF(COUNTIF(ProductLookupTable[Product_Code],RawSalesTable5[[#This Row],[Product_Code]])=0,"Missing Product","OK")</f>
        <v>OK</v>
      </c>
      <c r="R86" cm="1">
        <f t="array" ref="R86">_xlfn.XLOOKUP(RawSalesTable5[[#This Row],[Product_Code]],ProductLookupTable[[#All],[Product_Code]],ProductLookupTable[[#All],[Unit_Cost]],"NOT FOUND")</f>
        <v>9100</v>
      </c>
      <c r="S86">
        <f>IFERROR(RawSalesTable5[[#This Row],[Quantity]]*RawSalesTable5[[#This Row],[Unit_Price]],"NOT FOUND")</f>
        <v>25998</v>
      </c>
      <c r="T86">
        <f>IFERROR(RawSalesTable5[[#This Row],[Gross_Revenue]]*RawSalesTable5[[#This Row],[Discount_Pct]],"NOT FOUND")</f>
        <v>0</v>
      </c>
      <c r="U86">
        <f>IFERROR(RawSalesTable5[[#This Row],[Gross_Revenue]]-RawSalesTable5[[#This Row],[Discount_Value]],"NOT FOUND")</f>
        <v>25998</v>
      </c>
      <c r="V86">
        <f>IFERROR(RawSalesTable5[[#This Row],[Quantity]]*RawSalesTable5[[#This Row],[Unit_Cost]],"NOT FOUND")</f>
        <v>18200</v>
      </c>
      <c r="W86">
        <f>IFERROR(RawSalesTable5[[#This Row],[Net_Revenue]]-RawSalesTable5[[#This Row],[Cost]],"NOT FOUND")</f>
        <v>7798</v>
      </c>
      <c r="X86" s="27">
        <f>IF(RawSalesTable5[[#This Row],[Lookup_Status]]="Missing Product","",IFERROR(RawSalesTable5[[#This Row],[Profit]]/RawSalesTable5[[#This Row],[Net_Revenue]],0))</f>
        <v>0.29994614970382338</v>
      </c>
      <c r="Y86">
        <f>RawSalesTable5[[#This Row],[Ship_Date]]-RawSalesTable5[[#This Row],[Order_Date]]</f>
        <v>8</v>
      </c>
      <c r="Z86" s="28">
        <f>DATE(YEAR(RawSalesTable5[[#This Row],[Order_Date]]),MONTH(RawSalesTable5[[#This Row],[Order_Date]]),1)</f>
        <v>45962</v>
      </c>
      <c r="AA86" t="str" cm="1">
        <f t="array" ref="AA86">IF(RawSalesTable5[[#This Row],[Lookup_Status]]="Missing Product","",_xlfn.IFS(RawSalesTable5[[#This Row],[Net_Revenue]]&gt;=20000,"High",RawSalesTable5[[#This Row],[Net_Revenue]]&gt;=10000,"Medium",TRUE,"Low"))</f>
        <v>High</v>
      </c>
    </row>
    <row r="87" spans="1:27">
      <c r="A87" t="s">
        <v>219</v>
      </c>
      <c r="B87" s="15">
        <v>45772</v>
      </c>
      <c r="C87" s="15">
        <v>45777</v>
      </c>
      <c r="D87" t="s">
        <v>83</v>
      </c>
      <c r="E87" t="s">
        <v>92</v>
      </c>
      <c r="F87" t="s">
        <v>154</v>
      </c>
      <c r="G87" t="s">
        <v>108</v>
      </c>
      <c r="H87" t="s">
        <v>103</v>
      </c>
      <c r="I87" s="17">
        <v>2</v>
      </c>
      <c r="J87" s="16">
        <v>0.1</v>
      </c>
      <c r="K87" t="s">
        <v>119</v>
      </c>
      <c r="L87" t="s">
        <v>89</v>
      </c>
      <c r="M87" s="17">
        <v>5</v>
      </c>
      <c r="N87" t="str" cm="1">
        <f t="array" ref="N87">_xlfn.XLOOKUP(RawSalesTable5[[#This Row],[Product_Code]],ProductLookupTable[[#All],[Product_Code]],ProductLookupTable[[#All],[Product_Name]],"NOT FOUND")</f>
        <v>Laptop Stand</v>
      </c>
      <c r="O87" t="str" cm="1">
        <f t="array" ref="O87">_xlfn.XLOOKUP(RawSalesTable5[[#This Row],[Product_Code]],ProductLookupTable[[#All],[Product_Code]],ProductLookupTable[[#All],[Category]],"NOT FOUND")</f>
        <v>Accessories</v>
      </c>
      <c r="P87" cm="1">
        <f t="array" ref="P87">_xlfn.XLOOKUP(RawSalesTable5[[#This Row],[Product_Code]],ProductLookupTable[[#All],[Product_Code]],ProductLookupTable[[#All],[Unit_Price]],"NOT FOUND")</f>
        <v>1899</v>
      </c>
      <c r="Q87" t="str">
        <f>IF(COUNTIF(ProductLookupTable[Product_Code],RawSalesTable5[[#This Row],[Product_Code]])=0,"Missing Product","OK")</f>
        <v>OK</v>
      </c>
      <c r="R87" cm="1">
        <f t="array" ref="R87">_xlfn.XLOOKUP(RawSalesTable5[[#This Row],[Product_Code]],ProductLookupTable[[#All],[Product_Code]],ProductLookupTable[[#All],[Unit_Cost]],"NOT FOUND")</f>
        <v>980</v>
      </c>
      <c r="S87">
        <f>IFERROR(RawSalesTable5[[#This Row],[Quantity]]*RawSalesTable5[[#This Row],[Unit_Price]],"NOT FOUND")</f>
        <v>3798</v>
      </c>
      <c r="T87">
        <f>IFERROR(RawSalesTable5[[#This Row],[Gross_Revenue]]*RawSalesTable5[[#This Row],[Discount_Pct]],"NOT FOUND")</f>
        <v>379.8</v>
      </c>
      <c r="U87">
        <f>IFERROR(RawSalesTable5[[#This Row],[Gross_Revenue]]-RawSalesTable5[[#This Row],[Discount_Value]],"NOT FOUND")</f>
        <v>3418.2</v>
      </c>
      <c r="V87">
        <f>IFERROR(RawSalesTable5[[#This Row],[Quantity]]*RawSalesTable5[[#This Row],[Unit_Cost]],"NOT FOUND")</f>
        <v>1960</v>
      </c>
      <c r="W87">
        <f>IFERROR(RawSalesTable5[[#This Row],[Net_Revenue]]-RawSalesTable5[[#This Row],[Cost]],"NOT FOUND")</f>
        <v>1458.1999999999998</v>
      </c>
      <c r="X87" s="27">
        <f>IF(RawSalesTable5[[#This Row],[Lookup_Status]]="Missing Product","",IFERROR(RawSalesTable5[[#This Row],[Profit]]/RawSalesTable5[[#This Row],[Net_Revenue]],0))</f>
        <v>0.42659879468726225</v>
      </c>
      <c r="Y87">
        <f>RawSalesTable5[[#This Row],[Ship_Date]]-RawSalesTable5[[#This Row],[Order_Date]]</f>
        <v>5</v>
      </c>
      <c r="Z87" s="28">
        <f>DATE(YEAR(RawSalesTable5[[#This Row],[Order_Date]]),MONTH(RawSalesTable5[[#This Row],[Order_Date]]),1)</f>
        <v>45748</v>
      </c>
      <c r="AA87" t="str" cm="1">
        <f t="array" ref="AA87">IF(RawSalesTable5[[#This Row],[Lookup_Status]]="Missing Product","",_xlfn.IFS(RawSalesTable5[[#This Row],[Net_Revenue]]&gt;=20000,"High",RawSalesTable5[[#This Row],[Net_Revenue]]&gt;=10000,"Medium",TRUE,"Low"))</f>
        <v>Low</v>
      </c>
    </row>
    <row r="88" spans="1:27">
      <c r="A88" t="s">
        <v>220</v>
      </c>
      <c r="B88" s="15">
        <v>45939</v>
      </c>
      <c r="C88" s="15">
        <v>45941</v>
      </c>
      <c r="D88" t="s">
        <v>114</v>
      </c>
      <c r="E88" t="s">
        <v>98</v>
      </c>
      <c r="F88" t="s">
        <v>85</v>
      </c>
      <c r="G88" t="s">
        <v>108</v>
      </c>
      <c r="H88" t="s">
        <v>86</v>
      </c>
      <c r="I88" s="17">
        <v>2</v>
      </c>
      <c r="J88" s="16">
        <v>0.15</v>
      </c>
      <c r="K88" t="s">
        <v>140</v>
      </c>
      <c r="L88" t="s">
        <v>89</v>
      </c>
      <c r="M88" s="17">
        <v>4</v>
      </c>
      <c r="N88" t="str" cm="1">
        <f t="array" ref="N88">_xlfn.XLOOKUP(RawSalesTable5[[#This Row],[Product_Code]],ProductLookupTable[[#All],[Product_Code]],ProductLookupTable[[#All],[Product_Name]],"NOT FOUND")</f>
        <v>Ergonomic Chair</v>
      </c>
      <c r="O88" t="str" cm="1">
        <f t="array" ref="O88">_xlfn.XLOOKUP(RawSalesTable5[[#This Row],[Product_Code]],ProductLookupTable[[#All],[Product_Code]],ProductLookupTable[[#All],[Category]],"NOT FOUND")</f>
        <v>Furniture</v>
      </c>
      <c r="P88" cm="1">
        <f t="array" ref="P88">_xlfn.XLOOKUP(RawSalesTable5[[#This Row],[Product_Code]],ProductLookupTable[[#All],[Product_Code]],ProductLookupTable[[#All],[Unit_Price]],"NOT FOUND")</f>
        <v>10499</v>
      </c>
      <c r="Q88" t="str">
        <f>IF(COUNTIF(ProductLookupTable[Product_Code],RawSalesTable5[[#This Row],[Product_Code]])=0,"Missing Product","OK")</f>
        <v>OK</v>
      </c>
      <c r="R88" cm="1">
        <f t="array" ref="R88">_xlfn.XLOOKUP(RawSalesTable5[[#This Row],[Product_Code]],ProductLookupTable[[#All],[Product_Code]],ProductLookupTable[[#All],[Unit_Cost]],"NOT FOUND")</f>
        <v>7600</v>
      </c>
      <c r="S88">
        <f>IFERROR(RawSalesTable5[[#This Row],[Quantity]]*RawSalesTable5[[#This Row],[Unit_Price]],"NOT FOUND")</f>
        <v>20998</v>
      </c>
      <c r="T88">
        <f>IFERROR(RawSalesTable5[[#This Row],[Gross_Revenue]]*RawSalesTable5[[#This Row],[Discount_Pct]],"NOT FOUND")</f>
        <v>3149.7</v>
      </c>
      <c r="U88">
        <f>IFERROR(RawSalesTable5[[#This Row],[Gross_Revenue]]-RawSalesTable5[[#This Row],[Discount_Value]],"NOT FOUND")</f>
        <v>17848.3</v>
      </c>
      <c r="V88">
        <f>IFERROR(RawSalesTable5[[#This Row],[Quantity]]*RawSalesTable5[[#This Row],[Unit_Cost]],"NOT FOUND")</f>
        <v>15200</v>
      </c>
      <c r="W88">
        <f>IFERROR(RawSalesTable5[[#This Row],[Net_Revenue]]-RawSalesTable5[[#This Row],[Cost]],"NOT FOUND")</f>
        <v>2648.2999999999993</v>
      </c>
      <c r="X88" s="27">
        <f>IF(RawSalesTable5[[#This Row],[Lookup_Status]]="Missing Product","",IFERROR(RawSalesTable5[[#This Row],[Profit]]/RawSalesTable5[[#This Row],[Net_Revenue]],0))</f>
        <v>0.14837827692273209</v>
      </c>
      <c r="Y88">
        <f>RawSalesTable5[[#This Row],[Ship_Date]]-RawSalesTable5[[#This Row],[Order_Date]]</f>
        <v>2</v>
      </c>
      <c r="Z88" s="28">
        <f>DATE(YEAR(RawSalesTable5[[#This Row],[Order_Date]]),MONTH(RawSalesTable5[[#This Row],[Order_Date]]),1)</f>
        <v>45931</v>
      </c>
      <c r="AA88" t="str" cm="1">
        <f t="array" ref="AA88">IF(RawSalesTable5[[#This Row],[Lookup_Status]]="Missing Product","",_xlfn.IFS(RawSalesTable5[[#This Row],[Net_Revenue]]&gt;=20000,"High",RawSalesTable5[[#This Row],[Net_Revenue]]&gt;=10000,"Medium",TRUE,"Low"))</f>
        <v>Medium</v>
      </c>
    </row>
    <row r="89" spans="1:27">
      <c r="A89" t="s">
        <v>221</v>
      </c>
      <c r="B89" s="15">
        <v>46019</v>
      </c>
      <c r="C89" s="15">
        <v>46025</v>
      </c>
      <c r="D89" t="s">
        <v>157</v>
      </c>
      <c r="E89" t="s">
        <v>101</v>
      </c>
      <c r="F89" t="s">
        <v>154</v>
      </c>
      <c r="G89" t="s">
        <v>108</v>
      </c>
      <c r="H89" t="s">
        <v>86</v>
      </c>
      <c r="I89" s="17">
        <v>3</v>
      </c>
      <c r="J89" s="16">
        <v>0</v>
      </c>
      <c r="K89" t="s">
        <v>88</v>
      </c>
      <c r="L89" t="s">
        <v>89</v>
      </c>
      <c r="M89" s="17">
        <v>3</v>
      </c>
      <c r="N89" t="str" cm="1">
        <f t="array" ref="N89">_xlfn.XLOOKUP(RawSalesTable5[[#This Row],[Product_Code]],ProductLookupTable[[#All],[Product_Code]],ProductLookupTable[[#All],[Product_Name]],"NOT FOUND")</f>
        <v>Laptop Stand</v>
      </c>
      <c r="O89" t="str" cm="1">
        <f t="array" ref="O89">_xlfn.XLOOKUP(RawSalesTable5[[#This Row],[Product_Code]],ProductLookupTable[[#All],[Product_Code]],ProductLookupTable[[#All],[Category]],"NOT FOUND")</f>
        <v>Accessories</v>
      </c>
      <c r="P89" cm="1">
        <f t="array" ref="P89">_xlfn.XLOOKUP(RawSalesTable5[[#This Row],[Product_Code]],ProductLookupTable[[#All],[Product_Code]],ProductLookupTable[[#All],[Unit_Price]],"NOT FOUND")</f>
        <v>1899</v>
      </c>
      <c r="Q89" t="str">
        <f>IF(COUNTIF(ProductLookupTable[Product_Code],RawSalesTable5[[#This Row],[Product_Code]])=0,"Missing Product","OK")</f>
        <v>OK</v>
      </c>
      <c r="R89" cm="1">
        <f t="array" ref="R89">_xlfn.XLOOKUP(RawSalesTable5[[#This Row],[Product_Code]],ProductLookupTable[[#All],[Product_Code]],ProductLookupTable[[#All],[Unit_Cost]],"NOT FOUND")</f>
        <v>980</v>
      </c>
      <c r="S89">
        <f>IFERROR(RawSalesTable5[[#This Row],[Quantity]]*RawSalesTable5[[#This Row],[Unit_Price]],"NOT FOUND")</f>
        <v>5697</v>
      </c>
      <c r="T89">
        <f>IFERROR(RawSalesTable5[[#This Row],[Gross_Revenue]]*RawSalesTable5[[#This Row],[Discount_Pct]],"NOT FOUND")</f>
        <v>0</v>
      </c>
      <c r="U89">
        <f>IFERROR(RawSalesTable5[[#This Row],[Gross_Revenue]]-RawSalesTable5[[#This Row],[Discount_Value]],"NOT FOUND")</f>
        <v>5697</v>
      </c>
      <c r="V89">
        <f>IFERROR(RawSalesTable5[[#This Row],[Quantity]]*RawSalesTable5[[#This Row],[Unit_Cost]],"NOT FOUND")</f>
        <v>2940</v>
      </c>
      <c r="W89">
        <f>IFERROR(RawSalesTable5[[#This Row],[Net_Revenue]]-RawSalesTable5[[#This Row],[Cost]],"NOT FOUND")</f>
        <v>2757</v>
      </c>
      <c r="X89" s="27">
        <f>IF(RawSalesTable5[[#This Row],[Lookup_Status]]="Missing Product","",IFERROR(RawSalesTable5[[#This Row],[Profit]]/RawSalesTable5[[#This Row],[Net_Revenue]],0))</f>
        <v>0.48393891521853605</v>
      </c>
      <c r="Y89">
        <f>RawSalesTable5[[#This Row],[Ship_Date]]-RawSalesTable5[[#This Row],[Order_Date]]</f>
        <v>6</v>
      </c>
      <c r="Z89" s="28">
        <f>DATE(YEAR(RawSalesTable5[[#This Row],[Order_Date]]),MONTH(RawSalesTable5[[#This Row],[Order_Date]]),1)</f>
        <v>45992</v>
      </c>
      <c r="AA89" t="str" cm="1">
        <f t="array" ref="AA89">IF(RawSalesTable5[[#This Row],[Lookup_Status]]="Missing Product","",_xlfn.IFS(RawSalesTable5[[#This Row],[Net_Revenue]]&gt;=20000,"High",RawSalesTable5[[#This Row],[Net_Revenue]]&gt;=10000,"Medium",TRUE,"Low"))</f>
        <v>Low</v>
      </c>
    </row>
    <row r="90" spans="1:27">
      <c r="A90" t="s">
        <v>222</v>
      </c>
      <c r="B90" s="15">
        <v>45974</v>
      </c>
      <c r="C90" s="15">
        <v>45976</v>
      </c>
      <c r="D90" t="s">
        <v>212</v>
      </c>
      <c r="E90" t="s">
        <v>106</v>
      </c>
      <c r="F90" t="s">
        <v>124</v>
      </c>
      <c r="G90" t="s">
        <v>125</v>
      </c>
      <c r="H90" t="s">
        <v>103</v>
      </c>
      <c r="I90" s="17">
        <v>1</v>
      </c>
      <c r="J90" s="16">
        <v>0.1</v>
      </c>
      <c r="K90" t="s">
        <v>119</v>
      </c>
      <c r="L90" t="s">
        <v>89</v>
      </c>
      <c r="M90" s="17">
        <v>3</v>
      </c>
      <c r="N90" t="str" cm="1">
        <f t="array" ref="N90">_xlfn.XLOOKUP(RawSalesTable5[[#This Row],[Product_Code]],ProductLookupTable[[#All],[Product_Code]],ProductLookupTable[[#All],[Product_Name]],"NOT FOUND")</f>
        <v>Wireless Mouse</v>
      </c>
      <c r="O90" t="str" cm="1">
        <f t="array" ref="O90">_xlfn.XLOOKUP(RawSalesTable5[[#This Row],[Product_Code]],ProductLookupTable[[#All],[Product_Code]],ProductLookupTable[[#All],[Category]],"NOT FOUND")</f>
        <v>Accessories</v>
      </c>
      <c r="P90" cm="1">
        <f t="array" ref="P90">_xlfn.XLOOKUP(RawSalesTable5[[#This Row],[Product_Code]],ProductLookupTable[[#All],[Product_Code]],ProductLookupTable[[#All],[Unit_Price]],"NOT FOUND")</f>
        <v>799</v>
      </c>
      <c r="Q90" t="str">
        <f>IF(COUNTIF(ProductLookupTable[Product_Code],RawSalesTable5[[#This Row],[Product_Code]])=0,"Missing Product","OK")</f>
        <v>OK</v>
      </c>
      <c r="R90" cm="1">
        <f t="array" ref="R90">_xlfn.XLOOKUP(RawSalesTable5[[#This Row],[Product_Code]],ProductLookupTable[[#All],[Product_Code]],ProductLookupTable[[#All],[Unit_Cost]],"NOT FOUND")</f>
        <v>420</v>
      </c>
      <c r="S90">
        <f>IFERROR(RawSalesTable5[[#This Row],[Quantity]]*RawSalesTable5[[#This Row],[Unit_Price]],"NOT FOUND")</f>
        <v>799</v>
      </c>
      <c r="T90">
        <f>IFERROR(RawSalesTable5[[#This Row],[Gross_Revenue]]*RawSalesTable5[[#This Row],[Discount_Pct]],"NOT FOUND")</f>
        <v>79.900000000000006</v>
      </c>
      <c r="U90">
        <f>IFERROR(RawSalesTable5[[#This Row],[Gross_Revenue]]-RawSalesTable5[[#This Row],[Discount_Value]],"NOT FOUND")</f>
        <v>719.1</v>
      </c>
      <c r="V90">
        <f>IFERROR(RawSalesTable5[[#This Row],[Quantity]]*RawSalesTable5[[#This Row],[Unit_Cost]],"NOT FOUND")</f>
        <v>420</v>
      </c>
      <c r="W90">
        <f>IFERROR(RawSalesTable5[[#This Row],[Net_Revenue]]-RawSalesTable5[[#This Row],[Cost]],"NOT FOUND")</f>
        <v>299.10000000000002</v>
      </c>
      <c r="X90" s="27">
        <f>IF(RawSalesTable5[[#This Row],[Lookup_Status]]="Missing Product","",IFERROR(RawSalesTable5[[#This Row],[Profit]]/RawSalesTable5[[#This Row],[Net_Revenue]],0))</f>
        <v>0.41593658740091782</v>
      </c>
      <c r="Y90">
        <f>RawSalesTable5[[#This Row],[Ship_Date]]-RawSalesTable5[[#This Row],[Order_Date]]</f>
        <v>2</v>
      </c>
      <c r="Z90" s="28">
        <f>DATE(YEAR(RawSalesTable5[[#This Row],[Order_Date]]),MONTH(RawSalesTable5[[#This Row],[Order_Date]]),1)</f>
        <v>45962</v>
      </c>
      <c r="AA90" t="str" cm="1">
        <f t="array" ref="AA90">IF(RawSalesTable5[[#This Row],[Lookup_Status]]="Missing Product","",_xlfn.IFS(RawSalesTable5[[#This Row],[Net_Revenue]]&gt;=20000,"High",RawSalesTable5[[#This Row],[Net_Revenue]]&gt;=10000,"Medium",TRUE,"Low"))</f>
        <v>Low</v>
      </c>
    </row>
    <row r="91" spans="1:27">
      <c r="A91" t="s">
        <v>223</v>
      </c>
      <c r="B91" s="15">
        <v>45715</v>
      </c>
      <c r="C91" s="15">
        <v>45720</v>
      </c>
      <c r="D91" t="s">
        <v>123</v>
      </c>
      <c r="E91" t="s">
        <v>111</v>
      </c>
      <c r="F91" t="s">
        <v>85</v>
      </c>
      <c r="G91" t="s">
        <v>94</v>
      </c>
      <c r="H91" t="s">
        <v>87</v>
      </c>
      <c r="I91" s="17">
        <v>4</v>
      </c>
      <c r="J91" s="16">
        <v>0</v>
      </c>
      <c r="K91" t="s">
        <v>140</v>
      </c>
      <c r="L91" t="s">
        <v>89</v>
      </c>
      <c r="M91" s="17">
        <v>4</v>
      </c>
      <c r="N91" t="str" cm="1">
        <f t="array" ref="N91">_xlfn.XLOOKUP(RawSalesTable5[[#This Row],[Product_Code]],ProductLookupTable[[#All],[Product_Code]],ProductLookupTable[[#All],[Product_Name]],"NOT FOUND")</f>
        <v>Ergonomic Chair</v>
      </c>
      <c r="O91" t="str" cm="1">
        <f t="array" ref="O91">_xlfn.XLOOKUP(RawSalesTable5[[#This Row],[Product_Code]],ProductLookupTable[[#All],[Product_Code]],ProductLookupTable[[#All],[Category]],"NOT FOUND")</f>
        <v>Furniture</v>
      </c>
      <c r="P91" cm="1">
        <f t="array" ref="P91">_xlfn.XLOOKUP(RawSalesTable5[[#This Row],[Product_Code]],ProductLookupTable[[#All],[Product_Code]],ProductLookupTable[[#All],[Unit_Price]],"NOT FOUND")</f>
        <v>10499</v>
      </c>
      <c r="Q91" t="str">
        <f>IF(COUNTIF(ProductLookupTable[Product_Code],RawSalesTable5[[#This Row],[Product_Code]])=0,"Missing Product","OK")</f>
        <v>OK</v>
      </c>
      <c r="R91" cm="1">
        <f t="array" ref="R91">_xlfn.XLOOKUP(RawSalesTable5[[#This Row],[Product_Code]],ProductLookupTable[[#All],[Product_Code]],ProductLookupTable[[#All],[Unit_Cost]],"NOT FOUND")</f>
        <v>7600</v>
      </c>
      <c r="S91">
        <f>IFERROR(RawSalesTable5[[#This Row],[Quantity]]*RawSalesTable5[[#This Row],[Unit_Price]],"NOT FOUND")</f>
        <v>41996</v>
      </c>
      <c r="T91">
        <f>IFERROR(RawSalesTable5[[#This Row],[Gross_Revenue]]*RawSalesTable5[[#This Row],[Discount_Pct]],"NOT FOUND")</f>
        <v>0</v>
      </c>
      <c r="U91">
        <f>IFERROR(RawSalesTable5[[#This Row],[Gross_Revenue]]-RawSalesTable5[[#This Row],[Discount_Value]],"NOT FOUND")</f>
        <v>41996</v>
      </c>
      <c r="V91">
        <f>IFERROR(RawSalesTable5[[#This Row],[Quantity]]*RawSalesTable5[[#This Row],[Unit_Cost]],"NOT FOUND")</f>
        <v>30400</v>
      </c>
      <c r="W91">
        <f>IFERROR(RawSalesTable5[[#This Row],[Net_Revenue]]-RawSalesTable5[[#This Row],[Cost]],"NOT FOUND")</f>
        <v>11596</v>
      </c>
      <c r="X91" s="27">
        <f>IF(RawSalesTable5[[#This Row],[Lookup_Status]]="Missing Product","",IFERROR(RawSalesTable5[[#This Row],[Profit]]/RawSalesTable5[[#This Row],[Net_Revenue]],0))</f>
        <v>0.27612153538432233</v>
      </c>
      <c r="Y91">
        <f>RawSalesTable5[[#This Row],[Ship_Date]]-RawSalesTable5[[#This Row],[Order_Date]]</f>
        <v>5</v>
      </c>
      <c r="Z91" s="28">
        <f>DATE(YEAR(RawSalesTable5[[#This Row],[Order_Date]]),MONTH(RawSalesTable5[[#This Row],[Order_Date]]),1)</f>
        <v>45689</v>
      </c>
      <c r="AA91" t="str" cm="1">
        <f t="array" ref="AA91">IF(RawSalesTable5[[#This Row],[Lookup_Status]]="Missing Product","",_xlfn.IFS(RawSalesTable5[[#This Row],[Net_Revenue]]&gt;=20000,"High",RawSalesTable5[[#This Row],[Net_Revenue]]&gt;=10000,"Medium",TRUE,"Low"))</f>
        <v>High</v>
      </c>
    </row>
    <row r="92" spans="1:27">
      <c r="A92" t="s">
        <v>224</v>
      </c>
      <c r="B92" s="15">
        <v>45669</v>
      </c>
      <c r="C92" s="15">
        <v>45676</v>
      </c>
      <c r="D92" t="s">
        <v>83</v>
      </c>
      <c r="E92" t="s">
        <v>84</v>
      </c>
      <c r="F92" t="s">
        <v>147</v>
      </c>
      <c r="G92" t="s">
        <v>108</v>
      </c>
      <c r="H92" t="s">
        <v>87</v>
      </c>
      <c r="I92" s="17">
        <v>4</v>
      </c>
      <c r="J92" s="16">
        <v>0.1</v>
      </c>
      <c r="K92" t="s">
        <v>112</v>
      </c>
      <c r="L92" t="s">
        <v>89</v>
      </c>
      <c r="M92" s="17">
        <v>5</v>
      </c>
      <c r="N92" t="str" cm="1">
        <f t="array" ref="N92">_xlfn.XLOOKUP(RawSalesTable5[[#This Row],[Product_Code]],ProductLookupTable[[#All],[Product_Code]],ProductLookupTable[[#All],[Product_Name]],"NOT FOUND")</f>
        <v>LED Desk Lamp</v>
      </c>
      <c r="O92" t="str" cm="1">
        <f t="array" ref="O92">_xlfn.XLOOKUP(RawSalesTable5[[#This Row],[Product_Code]],ProductLookupTable[[#All],[Product_Code]],ProductLookupTable[[#All],[Category]],"NOT FOUND")</f>
        <v>Furniture</v>
      </c>
      <c r="P92" cm="1">
        <f t="array" ref="P92">_xlfn.XLOOKUP(RawSalesTable5[[#This Row],[Product_Code]],ProductLookupTable[[#All],[Product_Code]],ProductLookupTable[[#All],[Unit_Price]],"NOT FOUND")</f>
        <v>1999</v>
      </c>
      <c r="Q92" t="str">
        <f>IF(COUNTIF(ProductLookupTable[Product_Code],RawSalesTable5[[#This Row],[Product_Code]])=0,"Missing Product","OK")</f>
        <v>OK</v>
      </c>
      <c r="R92" cm="1">
        <f t="array" ref="R92">_xlfn.XLOOKUP(RawSalesTable5[[#This Row],[Product_Code]],ProductLookupTable[[#All],[Product_Code]],ProductLookupTable[[#All],[Unit_Cost]],"NOT FOUND")</f>
        <v>1050</v>
      </c>
      <c r="S92">
        <f>IFERROR(RawSalesTable5[[#This Row],[Quantity]]*RawSalesTable5[[#This Row],[Unit_Price]],"NOT FOUND")</f>
        <v>7996</v>
      </c>
      <c r="T92">
        <f>IFERROR(RawSalesTable5[[#This Row],[Gross_Revenue]]*RawSalesTable5[[#This Row],[Discount_Pct]],"NOT FOUND")</f>
        <v>799.6</v>
      </c>
      <c r="U92">
        <f>IFERROR(RawSalesTable5[[#This Row],[Gross_Revenue]]-RawSalesTable5[[#This Row],[Discount_Value]],"NOT FOUND")</f>
        <v>7196.4</v>
      </c>
      <c r="V92">
        <f>IFERROR(RawSalesTable5[[#This Row],[Quantity]]*RawSalesTable5[[#This Row],[Unit_Cost]],"NOT FOUND")</f>
        <v>4200</v>
      </c>
      <c r="W92">
        <f>IFERROR(RawSalesTable5[[#This Row],[Net_Revenue]]-RawSalesTable5[[#This Row],[Cost]],"NOT FOUND")</f>
        <v>2996.3999999999996</v>
      </c>
      <c r="X92" s="27">
        <f>IF(RawSalesTable5[[#This Row],[Lookup_Status]]="Missing Product","",IFERROR(RawSalesTable5[[#This Row],[Profit]]/RawSalesTable5[[#This Row],[Net_Revenue]],0))</f>
        <v>0.4163748540937135</v>
      </c>
      <c r="Y92">
        <f>RawSalesTable5[[#This Row],[Ship_Date]]-RawSalesTable5[[#This Row],[Order_Date]]</f>
        <v>7</v>
      </c>
      <c r="Z92" s="28">
        <f>DATE(YEAR(RawSalesTable5[[#This Row],[Order_Date]]),MONTH(RawSalesTable5[[#This Row],[Order_Date]]),1)</f>
        <v>45658</v>
      </c>
      <c r="AA92" t="str" cm="1">
        <f t="array" ref="AA92">IF(RawSalesTable5[[#This Row],[Lookup_Status]]="Missing Product","",_xlfn.IFS(RawSalesTable5[[#This Row],[Net_Revenue]]&gt;=20000,"High",RawSalesTable5[[#This Row],[Net_Revenue]]&gt;=10000,"Medium",TRUE,"Low"))</f>
        <v>Low</v>
      </c>
    </row>
    <row r="93" spans="1:27">
      <c r="A93" t="s">
        <v>225</v>
      </c>
      <c r="B93" s="15">
        <v>45715</v>
      </c>
      <c r="C93" s="15">
        <v>45717</v>
      </c>
      <c r="D93" t="s">
        <v>114</v>
      </c>
      <c r="E93" t="s">
        <v>92</v>
      </c>
      <c r="F93" t="s">
        <v>121</v>
      </c>
      <c r="G93" t="s">
        <v>125</v>
      </c>
      <c r="H93" t="s">
        <v>87</v>
      </c>
      <c r="I93" s="17">
        <v>4</v>
      </c>
      <c r="J93" s="16">
        <v>0.05</v>
      </c>
      <c r="K93" t="s">
        <v>112</v>
      </c>
      <c r="L93" t="s">
        <v>89</v>
      </c>
      <c r="M93" s="17">
        <v>5</v>
      </c>
      <c r="N93" t="str" cm="1">
        <f t="array" ref="N93">_xlfn.XLOOKUP(RawSalesTable5[[#This Row],[Product_Code]],ProductLookupTable[[#All],[Product_Code]],ProductLookupTable[[#All],[Product_Name]],"NOT FOUND")</f>
        <v>HD Webcam</v>
      </c>
      <c r="O93" t="str" cm="1">
        <f t="array" ref="O93">_xlfn.XLOOKUP(RawSalesTable5[[#This Row],[Product_Code]],ProductLookupTable[[#All],[Product_Code]],ProductLookupTable[[#All],[Category]],"NOT FOUND")</f>
        <v>Accessories</v>
      </c>
      <c r="P93" cm="1">
        <f t="array" ref="P93">_xlfn.XLOOKUP(RawSalesTable5[[#This Row],[Product_Code]],ProductLookupTable[[#All],[Product_Code]],ProductLookupTable[[#All],[Unit_Price]],"NOT FOUND")</f>
        <v>2899</v>
      </c>
      <c r="Q93" t="str">
        <f>IF(COUNTIF(ProductLookupTable[Product_Code],RawSalesTable5[[#This Row],[Product_Code]])=0,"Missing Product","OK")</f>
        <v>OK</v>
      </c>
      <c r="R93" cm="1">
        <f t="array" ref="R93">_xlfn.XLOOKUP(RawSalesTable5[[#This Row],[Product_Code]],ProductLookupTable[[#All],[Product_Code]],ProductLookupTable[[#All],[Unit_Cost]],"NOT FOUND")</f>
        <v>1700</v>
      </c>
      <c r="S93">
        <f>IFERROR(RawSalesTable5[[#This Row],[Quantity]]*RawSalesTable5[[#This Row],[Unit_Price]],"NOT FOUND")</f>
        <v>11596</v>
      </c>
      <c r="T93">
        <f>IFERROR(RawSalesTable5[[#This Row],[Gross_Revenue]]*RawSalesTable5[[#This Row],[Discount_Pct]],"NOT FOUND")</f>
        <v>579.80000000000007</v>
      </c>
      <c r="U93">
        <f>IFERROR(RawSalesTable5[[#This Row],[Gross_Revenue]]-RawSalesTable5[[#This Row],[Discount_Value]],"NOT FOUND")</f>
        <v>11016.2</v>
      </c>
      <c r="V93">
        <f>IFERROR(RawSalesTable5[[#This Row],[Quantity]]*RawSalesTable5[[#This Row],[Unit_Cost]],"NOT FOUND")</f>
        <v>6800</v>
      </c>
      <c r="W93">
        <f>IFERROR(RawSalesTable5[[#This Row],[Net_Revenue]]-RawSalesTable5[[#This Row],[Cost]],"NOT FOUND")</f>
        <v>4216.2000000000007</v>
      </c>
      <c r="X93" s="27">
        <f>IF(RawSalesTable5[[#This Row],[Lookup_Status]]="Missing Product","",IFERROR(RawSalesTable5[[#This Row],[Profit]]/RawSalesTable5[[#This Row],[Net_Revenue]],0))</f>
        <v>0.38272725622265397</v>
      </c>
      <c r="Y93">
        <f>RawSalesTable5[[#This Row],[Ship_Date]]-RawSalesTable5[[#This Row],[Order_Date]]</f>
        <v>2</v>
      </c>
      <c r="Z93" s="28">
        <f>DATE(YEAR(RawSalesTable5[[#This Row],[Order_Date]]),MONTH(RawSalesTable5[[#This Row],[Order_Date]]),1)</f>
        <v>45689</v>
      </c>
      <c r="AA93" t="str" cm="1">
        <f t="array" ref="AA93">IF(RawSalesTable5[[#This Row],[Lookup_Status]]="Missing Product","",_xlfn.IFS(RawSalesTable5[[#This Row],[Net_Revenue]]&gt;=20000,"High",RawSalesTable5[[#This Row],[Net_Revenue]]&gt;=10000,"Medium",TRUE,"Low"))</f>
        <v>Medium</v>
      </c>
    </row>
    <row r="94" spans="1:27">
      <c r="A94" t="s">
        <v>226</v>
      </c>
      <c r="B94" s="15">
        <v>45700</v>
      </c>
      <c r="C94" s="15">
        <v>45703</v>
      </c>
      <c r="D94" t="s">
        <v>157</v>
      </c>
      <c r="E94" t="s">
        <v>98</v>
      </c>
      <c r="F94" t="s">
        <v>85</v>
      </c>
      <c r="G94" t="s">
        <v>86</v>
      </c>
      <c r="H94" t="s">
        <v>103</v>
      </c>
      <c r="I94" s="17">
        <v>3</v>
      </c>
      <c r="J94" s="16">
        <v>0.1</v>
      </c>
      <c r="K94" t="s">
        <v>95</v>
      </c>
      <c r="L94" t="s">
        <v>89</v>
      </c>
      <c r="M94" s="17">
        <v>5</v>
      </c>
      <c r="N94" t="str" cm="1">
        <f t="array" ref="N94">_xlfn.XLOOKUP(RawSalesTable5[[#This Row],[Product_Code]],ProductLookupTable[[#All],[Product_Code]],ProductLookupTable[[#All],[Product_Name]],"NOT FOUND")</f>
        <v>Ergonomic Chair</v>
      </c>
      <c r="O94" t="str" cm="1">
        <f t="array" ref="O94">_xlfn.XLOOKUP(RawSalesTable5[[#This Row],[Product_Code]],ProductLookupTable[[#All],[Product_Code]],ProductLookupTable[[#All],[Category]],"NOT FOUND")</f>
        <v>Furniture</v>
      </c>
      <c r="P94" cm="1">
        <f t="array" ref="P94">_xlfn.XLOOKUP(RawSalesTable5[[#This Row],[Product_Code]],ProductLookupTable[[#All],[Product_Code]],ProductLookupTable[[#All],[Unit_Price]],"NOT FOUND")</f>
        <v>10499</v>
      </c>
      <c r="Q94" t="str">
        <f>IF(COUNTIF(ProductLookupTable[Product_Code],RawSalesTable5[[#This Row],[Product_Code]])=0,"Missing Product","OK")</f>
        <v>OK</v>
      </c>
      <c r="R94" cm="1">
        <f t="array" ref="R94">_xlfn.XLOOKUP(RawSalesTable5[[#This Row],[Product_Code]],ProductLookupTable[[#All],[Product_Code]],ProductLookupTable[[#All],[Unit_Cost]],"NOT FOUND")</f>
        <v>7600</v>
      </c>
      <c r="S94">
        <f>IFERROR(RawSalesTable5[[#This Row],[Quantity]]*RawSalesTable5[[#This Row],[Unit_Price]],"NOT FOUND")</f>
        <v>31497</v>
      </c>
      <c r="T94">
        <f>IFERROR(RawSalesTable5[[#This Row],[Gross_Revenue]]*RawSalesTable5[[#This Row],[Discount_Pct]],"NOT FOUND")</f>
        <v>3149.7000000000003</v>
      </c>
      <c r="U94">
        <f>IFERROR(RawSalesTable5[[#This Row],[Gross_Revenue]]-RawSalesTable5[[#This Row],[Discount_Value]],"NOT FOUND")</f>
        <v>28347.3</v>
      </c>
      <c r="V94">
        <f>IFERROR(RawSalesTable5[[#This Row],[Quantity]]*RawSalesTable5[[#This Row],[Unit_Cost]],"NOT FOUND")</f>
        <v>22800</v>
      </c>
      <c r="W94">
        <f>IFERROR(RawSalesTable5[[#This Row],[Net_Revenue]]-RawSalesTable5[[#This Row],[Cost]],"NOT FOUND")</f>
        <v>5547.2999999999993</v>
      </c>
      <c r="X94" s="27">
        <f>IF(RawSalesTable5[[#This Row],[Lookup_Status]]="Missing Product","",IFERROR(RawSalesTable5[[#This Row],[Profit]]/RawSalesTable5[[#This Row],[Net_Revenue]],0))</f>
        <v>0.19569059487146923</v>
      </c>
      <c r="Y94">
        <f>RawSalesTable5[[#This Row],[Ship_Date]]-RawSalesTable5[[#This Row],[Order_Date]]</f>
        <v>3</v>
      </c>
      <c r="Z94" s="28">
        <f>DATE(YEAR(RawSalesTable5[[#This Row],[Order_Date]]),MONTH(RawSalesTable5[[#This Row],[Order_Date]]),1)</f>
        <v>45689</v>
      </c>
      <c r="AA94" t="str" cm="1">
        <f t="array" ref="AA94">IF(RawSalesTable5[[#This Row],[Lookup_Status]]="Missing Product","",_xlfn.IFS(RawSalesTable5[[#This Row],[Net_Revenue]]&gt;=20000,"High",RawSalesTable5[[#This Row],[Net_Revenue]]&gt;=10000,"Medium",TRUE,"Low"))</f>
        <v>High</v>
      </c>
    </row>
    <row r="95" spans="1:27">
      <c r="A95" t="s">
        <v>227</v>
      </c>
      <c r="B95" s="15">
        <v>45878</v>
      </c>
      <c r="C95" s="15">
        <v>45886</v>
      </c>
      <c r="D95" t="s">
        <v>212</v>
      </c>
      <c r="E95" t="s">
        <v>101</v>
      </c>
      <c r="F95" t="s">
        <v>147</v>
      </c>
      <c r="G95" t="s">
        <v>125</v>
      </c>
      <c r="H95" t="s">
        <v>87</v>
      </c>
      <c r="I95" s="17">
        <v>2</v>
      </c>
      <c r="J95" s="16">
        <v>0</v>
      </c>
      <c r="K95" t="s">
        <v>140</v>
      </c>
      <c r="L95" t="s">
        <v>89</v>
      </c>
      <c r="M95" s="17">
        <v>3</v>
      </c>
      <c r="N95" t="str" cm="1">
        <f t="array" ref="N95">_xlfn.XLOOKUP(RawSalesTable5[[#This Row],[Product_Code]],ProductLookupTable[[#All],[Product_Code]],ProductLookupTable[[#All],[Product_Name]],"NOT FOUND")</f>
        <v>LED Desk Lamp</v>
      </c>
      <c r="O95" t="str" cm="1">
        <f t="array" ref="O95">_xlfn.XLOOKUP(RawSalesTable5[[#This Row],[Product_Code]],ProductLookupTable[[#All],[Product_Code]],ProductLookupTable[[#All],[Category]],"NOT FOUND")</f>
        <v>Furniture</v>
      </c>
      <c r="P95" cm="1">
        <f t="array" ref="P95">_xlfn.XLOOKUP(RawSalesTable5[[#This Row],[Product_Code]],ProductLookupTable[[#All],[Product_Code]],ProductLookupTable[[#All],[Unit_Price]],"NOT FOUND")</f>
        <v>1999</v>
      </c>
      <c r="Q95" t="str">
        <f>IF(COUNTIF(ProductLookupTable[Product_Code],RawSalesTable5[[#This Row],[Product_Code]])=0,"Missing Product","OK")</f>
        <v>OK</v>
      </c>
      <c r="R95" cm="1">
        <f t="array" ref="R95">_xlfn.XLOOKUP(RawSalesTable5[[#This Row],[Product_Code]],ProductLookupTable[[#All],[Product_Code]],ProductLookupTable[[#All],[Unit_Cost]],"NOT FOUND")</f>
        <v>1050</v>
      </c>
      <c r="S95">
        <f>IFERROR(RawSalesTable5[[#This Row],[Quantity]]*RawSalesTable5[[#This Row],[Unit_Price]],"NOT FOUND")</f>
        <v>3998</v>
      </c>
      <c r="T95">
        <f>IFERROR(RawSalesTable5[[#This Row],[Gross_Revenue]]*RawSalesTable5[[#This Row],[Discount_Pct]],"NOT FOUND")</f>
        <v>0</v>
      </c>
      <c r="U95">
        <f>IFERROR(RawSalesTable5[[#This Row],[Gross_Revenue]]-RawSalesTable5[[#This Row],[Discount_Value]],"NOT FOUND")</f>
        <v>3998</v>
      </c>
      <c r="V95">
        <f>IFERROR(RawSalesTable5[[#This Row],[Quantity]]*RawSalesTable5[[#This Row],[Unit_Cost]],"NOT FOUND")</f>
        <v>2100</v>
      </c>
      <c r="W95">
        <f>IFERROR(RawSalesTable5[[#This Row],[Net_Revenue]]-RawSalesTable5[[#This Row],[Cost]],"NOT FOUND")</f>
        <v>1898</v>
      </c>
      <c r="X95" s="27">
        <f>IF(RawSalesTable5[[#This Row],[Lookup_Status]]="Missing Product","",IFERROR(RawSalesTable5[[#This Row],[Profit]]/RawSalesTable5[[#This Row],[Net_Revenue]],0))</f>
        <v>0.47473736868434219</v>
      </c>
      <c r="Y95">
        <f>RawSalesTable5[[#This Row],[Ship_Date]]-RawSalesTable5[[#This Row],[Order_Date]]</f>
        <v>8</v>
      </c>
      <c r="Z95" s="28">
        <f>DATE(YEAR(RawSalesTable5[[#This Row],[Order_Date]]),MONTH(RawSalesTable5[[#This Row],[Order_Date]]),1)</f>
        <v>45870</v>
      </c>
      <c r="AA95" t="str" cm="1">
        <f t="array" ref="AA95">IF(RawSalesTable5[[#This Row],[Lookup_Status]]="Missing Product","",_xlfn.IFS(RawSalesTable5[[#This Row],[Net_Revenue]]&gt;=20000,"High",RawSalesTable5[[#This Row],[Net_Revenue]]&gt;=10000,"Medium",TRUE,"Low"))</f>
        <v>Low</v>
      </c>
    </row>
    <row r="96" spans="1:27">
      <c r="A96" t="s">
        <v>228</v>
      </c>
      <c r="B96" s="15">
        <v>45682</v>
      </c>
      <c r="C96" s="15">
        <v>45689</v>
      </c>
      <c r="D96" t="s">
        <v>123</v>
      </c>
      <c r="E96" t="s">
        <v>106</v>
      </c>
      <c r="F96" t="s">
        <v>85</v>
      </c>
      <c r="G96" t="s">
        <v>86</v>
      </c>
      <c r="H96" t="s">
        <v>87</v>
      </c>
      <c r="I96" s="17">
        <v>3</v>
      </c>
      <c r="J96" s="16">
        <v>0</v>
      </c>
      <c r="K96" t="s">
        <v>140</v>
      </c>
      <c r="L96" t="s">
        <v>89</v>
      </c>
      <c r="M96" s="17">
        <v>5</v>
      </c>
      <c r="N96" t="str" cm="1">
        <f t="array" ref="N96">_xlfn.XLOOKUP(RawSalesTable5[[#This Row],[Product_Code]],ProductLookupTable[[#All],[Product_Code]],ProductLookupTable[[#All],[Product_Name]],"NOT FOUND")</f>
        <v>Ergonomic Chair</v>
      </c>
      <c r="O96" t="str" cm="1">
        <f t="array" ref="O96">_xlfn.XLOOKUP(RawSalesTable5[[#This Row],[Product_Code]],ProductLookupTable[[#All],[Product_Code]],ProductLookupTable[[#All],[Category]],"NOT FOUND")</f>
        <v>Furniture</v>
      </c>
      <c r="P96" cm="1">
        <f t="array" ref="P96">_xlfn.XLOOKUP(RawSalesTable5[[#This Row],[Product_Code]],ProductLookupTable[[#All],[Product_Code]],ProductLookupTable[[#All],[Unit_Price]],"NOT FOUND")</f>
        <v>10499</v>
      </c>
      <c r="Q96" t="str">
        <f>IF(COUNTIF(ProductLookupTable[Product_Code],RawSalesTable5[[#This Row],[Product_Code]])=0,"Missing Product","OK")</f>
        <v>OK</v>
      </c>
      <c r="R96" cm="1">
        <f t="array" ref="R96">_xlfn.XLOOKUP(RawSalesTable5[[#This Row],[Product_Code]],ProductLookupTable[[#All],[Product_Code]],ProductLookupTable[[#All],[Unit_Cost]],"NOT FOUND")</f>
        <v>7600</v>
      </c>
      <c r="S96">
        <f>IFERROR(RawSalesTable5[[#This Row],[Quantity]]*RawSalesTable5[[#This Row],[Unit_Price]],"NOT FOUND")</f>
        <v>31497</v>
      </c>
      <c r="T96">
        <f>IFERROR(RawSalesTable5[[#This Row],[Gross_Revenue]]*RawSalesTable5[[#This Row],[Discount_Pct]],"NOT FOUND")</f>
        <v>0</v>
      </c>
      <c r="U96">
        <f>IFERROR(RawSalesTable5[[#This Row],[Gross_Revenue]]-RawSalesTable5[[#This Row],[Discount_Value]],"NOT FOUND")</f>
        <v>31497</v>
      </c>
      <c r="V96">
        <f>IFERROR(RawSalesTable5[[#This Row],[Quantity]]*RawSalesTable5[[#This Row],[Unit_Cost]],"NOT FOUND")</f>
        <v>22800</v>
      </c>
      <c r="W96">
        <f>IFERROR(RawSalesTable5[[#This Row],[Net_Revenue]]-RawSalesTable5[[#This Row],[Cost]],"NOT FOUND")</f>
        <v>8697</v>
      </c>
      <c r="X96" s="27">
        <f>IF(RawSalesTable5[[#This Row],[Lookup_Status]]="Missing Product","",IFERROR(RawSalesTable5[[#This Row],[Profit]]/RawSalesTable5[[#This Row],[Net_Revenue]],0))</f>
        <v>0.27612153538432233</v>
      </c>
      <c r="Y96">
        <f>RawSalesTable5[[#This Row],[Ship_Date]]-RawSalesTable5[[#This Row],[Order_Date]]</f>
        <v>7</v>
      </c>
      <c r="Z96" s="28">
        <f>DATE(YEAR(RawSalesTable5[[#This Row],[Order_Date]]),MONTH(RawSalesTable5[[#This Row],[Order_Date]]),1)</f>
        <v>45658</v>
      </c>
      <c r="AA96" t="str" cm="1">
        <f t="array" ref="AA96">IF(RawSalesTable5[[#This Row],[Lookup_Status]]="Missing Product","",_xlfn.IFS(RawSalesTable5[[#This Row],[Net_Revenue]]&gt;=20000,"High",RawSalesTable5[[#This Row],[Net_Revenue]]&gt;=10000,"Medium",TRUE,"Low"))</f>
        <v>High</v>
      </c>
    </row>
    <row r="97" spans="1:27">
      <c r="A97" t="s">
        <v>229</v>
      </c>
      <c r="B97" s="15">
        <v>45921</v>
      </c>
      <c r="C97" s="15">
        <v>45925</v>
      </c>
      <c r="D97" t="s">
        <v>83</v>
      </c>
      <c r="E97" t="s">
        <v>111</v>
      </c>
      <c r="F97" t="s">
        <v>121</v>
      </c>
      <c r="G97" t="s">
        <v>108</v>
      </c>
      <c r="H97" t="s">
        <v>87</v>
      </c>
      <c r="I97" s="17">
        <v>1</v>
      </c>
      <c r="J97" s="16">
        <v>0</v>
      </c>
      <c r="K97" t="s">
        <v>119</v>
      </c>
      <c r="L97" t="s">
        <v>89</v>
      </c>
      <c r="M97" s="17">
        <v>5</v>
      </c>
      <c r="N97" t="str" cm="1">
        <f t="array" ref="N97">_xlfn.XLOOKUP(RawSalesTable5[[#This Row],[Product_Code]],ProductLookupTable[[#All],[Product_Code]],ProductLookupTable[[#All],[Product_Name]],"NOT FOUND")</f>
        <v>HD Webcam</v>
      </c>
      <c r="O97" t="str" cm="1">
        <f t="array" ref="O97">_xlfn.XLOOKUP(RawSalesTable5[[#This Row],[Product_Code]],ProductLookupTable[[#All],[Product_Code]],ProductLookupTable[[#All],[Category]],"NOT FOUND")</f>
        <v>Accessories</v>
      </c>
      <c r="P97" cm="1">
        <f t="array" ref="P97">_xlfn.XLOOKUP(RawSalesTable5[[#This Row],[Product_Code]],ProductLookupTable[[#All],[Product_Code]],ProductLookupTable[[#All],[Unit_Price]],"NOT FOUND")</f>
        <v>2899</v>
      </c>
      <c r="Q97" t="str">
        <f>IF(COUNTIF(ProductLookupTable[Product_Code],RawSalesTable5[[#This Row],[Product_Code]])=0,"Missing Product","OK")</f>
        <v>OK</v>
      </c>
      <c r="R97" cm="1">
        <f t="array" ref="R97">_xlfn.XLOOKUP(RawSalesTable5[[#This Row],[Product_Code]],ProductLookupTable[[#All],[Product_Code]],ProductLookupTable[[#All],[Unit_Cost]],"NOT FOUND")</f>
        <v>1700</v>
      </c>
      <c r="S97">
        <f>IFERROR(RawSalesTable5[[#This Row],[Quantity]]*RawSalesTable5[[#This Row],[Unit_Price]],"NOT FOUND")</f>
        <v>2899</v>
      </c>
      <c r="T97">
        <f>IFERROR(RawSalesTable5[[#This Row],[Gross_Revenue]]*RawSalesTable5[[#This Row],[Discount_Pct]],"NOT FOUND")</f>
        <v>0</v>
      </c>
      <c r="U97">
        <f>IFERROR(RawSalesTable5[[#This Row],[Gross_Revenue]]-RawSalesTable5[[#This Row],[Discount_Value]],"NOT FOUND")</f>
        <v>2899</v>
      </c>
      <c r="V97">
        <f>IFERROR(RawSalesTable5[[#This Row],[Quantity]]*RawSalesTable5[[#This Row],[Unit_Cost]],"NOT FOUND")</f>
        <v>1700</v>
      </c>
      <c r="W97">
        <f>IFERROR(RawSalesTable5[[#This Row],[Net_Revenue]]-RawSalesTable5[[#This Row],[Cost]],"NOT FOUND")</f>
        <v>1199</v>
      </c>
      <c r="X97" s="27">
        <f>IF(RawSalesTable5[[#This Row],[Lookup_Status]]="Missing Product","",IFERROR(RawSalesTable5[[#This Row],[Profit]]/RawSalesTable5[[#This Row],[Net_Revenue]],0))</f>
        <v>0.41359089341152122</v>
      </c>
      <c r="Y97">
        <f>RawSalesTable5[[#This Row],[Ship_Date]]-RawSalesTable5[[#This Row],[Order_Date]]</f>
        <v>4</v>
      </c>
      <c r="Z97" s="28">
        <f>DATE(YEAR(RawSalesTable5[[#This Row],[Order_Date]]),MONTH(RawSalesTable5[[#This Row],[Order_Date]]),1)</f>
        <v>45901</v>
      </c>
      <c r="AA97" t="str" cm="1">
        <f t="array" ref="AA97">IF(RawSalesTable5[[#This Row],[Lookup_Status]]="Missing Product","",_xlfn.IFS(RawSalesTable5[[#This Row],[Net_Revenue]]&gt;=20000,"High",RawSalesTable5[[#This Row],[Net_Revenue]]&gt;=10000,"Medium",TRUE,"Low"))</f>
        <v>Low</v>
      </c>
    </row>
    <row r="98" spans="1:27">
      <c r="A98" t="s">
        <v>230</v>
      </c>
      <c r="B98" s="15">
        <v>45974</v>
      </c>
      <c r="C98" s="15">
        <v>45982</v>
      </c>
      <c r="D98" t="s">
        <v>114</v>
      </c>
      <c r="E98" t="s">
        <v>84</v>
      </c>
      <c r="F98" t="s">
        <v>115</v>
      </c>
      <c r="G98" t="s">
        <v>94</v>
      </c>
      <c r="H98" t="s">
        <v>103</v>
      </c>
      <c r="I98" s="17">
        <v>3</v>
      </c>
      <c r="J98" s="16">
        <v>0</v>
      </c>
      <c r="K98" t="s">
        <v>88</v>
      </c>
      <c r="L98" t="s">
        <v>89</v>
      </c>
      <c r="M98" s="17">
        <v>5</v>
      </c>
      <c r="N98" t="str" cm="1">
        <f t="array" ref="N98">_xlfn.XLOOKUP(RawSalesTable5[[#This Row],[Product_Code]],ProductLookupTable[[#All],[Product_Code]],ProductLookupTable[[#All],[Product_Name]],"NOT FOUND")</f>
        <v>USB-C Hub</v>
      </c>
      <c r="O98" t="str" cm="1">
        <f t="array" ref="O98">_xlfn.XLOOKUP(RawSalesTable5[[#This Row],[Product_Code]],ProductLookupTable[[#All],[Product_Code]],ProductLookupTable[[#All],[Category]],"NOT FOUND")</f>
        <v>Accessories</v>
      </c>
      <c r="P98" cm="1">
        <f t="array" ref="P98">_xlfn.XLOOKUP(RawSalesTable5[[#This Row],[Product_Code]],ProductLookupTable[[#All],[Product_Code]],ProductLookupTable[[#All],[Unit_Price]],"NOT FOUND")</f>
        <v>1599</v>
      </c>
      <c r="Q98" t="str">
        <f>IF(COUNTIF(ProductLookupTable[Product_Code],RawSalesTable5[[#This Row],[Product_Code]])=0,"Missing Product","OK")</f>
        <v>OK</v>
      </c>
      <c r="R98" cm="1">
        <f t="array" ref="R98">_xlfn.XLOOKUP(RawSalesTable5[[#This Row],[Product_Code]],ProductLookupTable[[#All],[Product_Code]],ProductLookupTable[[#All],[Unit_Cost]],"NOT FOUND")</f>
        <v>870</v>
      </c>
      <c r="S98">
        <f>IFERROR(RawSalesTable5[[#This Row],[Quantity]]*RawSalesTable5[[#This Row],[Unit_Price]],"NOT FOUND")</f>
        <v>4797</v>
      </c>
      <c r="T98">
        <f>IFERROR(RawSalesTable5[[#This Row],[Gross_Revenue]]*RawSalesTable5[[#This Row],[Discount_Pct]],"NOT FOUND")</f>
        <v>0</v>
      </c>
      <c r="U98">
        <f>IFERROR(RawSalesTable5[[#This Row],[Gross_Revenue]]-RawSalesTable5[[#This Row],[Discount_Value]],"NOT FOUND")</f>
        <v>4797</v>
      </c>
      <c r="V98">
        <f>IFERROR(RawSalesTable5[[#This Row],[Quantity]]*RawSalesTable5[[#This Row],[Unit_Cost]],"NOT FOUND")</f>
        <v>2610</v>
      </c>
      <c r="W98">
        <f>IFERROR(RawSalesTable5[[#This Row],[Net_Revenue]]-RawSalesTable5[[#This Row],[Cost]],"NOT FOUND")</f>
        <v>2187</v>
      </c>
      <c r="X98" s="27">
        <f>IF(RawSalesTable5[[#This Row],[Lookup_Status]]="Missing Product","",IFERROR(RawSalesTable5[[#This Row],[Profit]]/RawSalesTable5[[#This Row],[Net_Revenue]],0))</f>
        <v>0.45590994371482174</v>
      </c>
      <c r="Y98">
        <f>RawSalesTable5[[#This Row],[Ship_Date]]-RawSalesTable5[[#This Row],[Order_Date]]</f>
        <v>8</v>
      </c>
      <c r="Z98" s="28">
        <f>DATE(YEAR(RawSalesTable5[[#This Row],[Order_Date]]),MONTH(RawSalesTable5[[#This Row],[Order_Date]]),1)</f>
        <v>45962</v>
      </c>
      <c r="AA98" t="str" cm="1">
        <f t="array" ref="AA98">IF(RawSalesTable5[[#This Row],[Lookup_Status]]="Missing Product","",_xlfn.IFS(RawSalesTable5[[#This Row],[Net_Revenue]]&gt;=20000,"High",RawSalesTable5[[#This Row],[Net_Revenue]]&gt;=10000,"Medium",TRUE,"Low"))</f>
        <v>Low</v>
      </c>
    </row>
    <row r="99" spans="1:27">
      <c r="A99" t="s">
        <v>231</v>
      </c>
      <c r="B99" s="15">
        <v>45988</v>
      </c>
      <c r="C99" s="15">
        <v>45993</v>
      </c>
      <c r="D99" t="s">
        <v>157</v>
      </c>
      <c r="E99" t="s">
        <v>92</v>
      </c>
      <c r="F99" t="s">
        <v>154</v>
      </c>
      <c r="G99" t="s">
        <v>125</v>
      </c>
      <c r="H99" t="s">
        <v>103</v>
      </c>
      <c r="I99" s="17">
        <v>4</v>
      </c>
      <c r="J99" s="16">
        <v>0</v>
      </c>
      <c r="K99" t="s">
        <v>112</v>
      </c>
      <c r="L99" t="s">
        <v>89</v>
      </c>
      <c r="M99" s="17">
        <v>3</v>
      </c>
      <c r="N99" t="str" cm="1">
        <f t="array" ref="N99">_xlfn.XLOOKUP(RawSalesTable5[[#This Row],[Product_Code]],ProductLookupTable[[#All],[Product_Code]],ProductLookupTable[[#All],[Product_Name]],"NOT FOUND")</f>
        <v>Laptop Stand</v>
      </c>
      <c r="O99" t="str" cm="1">
        <f t="array" ref="O99">_xlfn.XLOOKUP(RawSalesTable5[[#This Row],[Product_Code]],ProductLookupTable[[#All],[Product_Code]],ProductLookupTable[[#All],[Category]],"NOT FOUND")</f>
        <v>Accessories</v>
      </c>
      <c r="P99" cm="1">
        <f t="array" ref="P99">_xlfn.XLOOKUP(RawSalesTable5[[#This Row],[Product_Code]],ProductLookupTable[[#All],[Product_Code]],ProductLookupTable[[#All],[Unit_Price]],"NOT FOUND")</f>
        <v>1899</v>
      </c>
      <c r="Q99" t="str">
        <f>IF(COUNTIF(ProductLookupTable[Product_Code],RawSalesTable5[[#This Row],[Product_Code]])=0,"Missing Product","OK")</f>
        <v>OK</v>
      </c>
      <c r="R99" cm="1">
        <f t="array" ref="R99">_xlfn.XLOOKUP(RawSalesTable5[[#This Row],[Product_Code]],ProductLookupTable[[#All],[Product_Code]],ProductLookupTable[[#All],[Unit_Cost]],"NOT FOUND")</f>
        <v>980</v>
      </c>
      <c r="S99">
        <f>IFERROR(RawSalesTable5[[#This Row],[Quantity]]*RawSalesTable5[[#This Row],[Unit_Price]],"NOT FOUND")</f>
        <v>7596</v>
      </c>
      <c r="T99">
        <f>IFERROR(RawSalesTable5[[#This Row],[Gross_Revenue]]*RawSalesTable5[[#This Row],[Discount_Pct]],"NOT FOUND")</f>
        <v>0</v>
      </c>
      <c r="U99">
        <f>IFERROR(RawSalesTable5[[#This Row],[Gross_Revenue]]-RawSalesTable5[[#This Row],[Discount_Value]],"NOT FOUND")</f>
        <v>7596</v>
      </c>
      <c r="V99">
        <f>IFERROR(RawSalesTable5[[#This Row],[Quantity]]*RawSalesTable5[[#This Row],[Unit_Cost]],"NOT FOUND")</f>
        <v>3920</v>
      </c>
      <c r="W99">
        <f>IFERROR(RawSalesTable5[[#This Row],[Net_Revenue]]-RawSalesTable5[[#This Row],[Cost]],"NOT FOUND")</f>
        <v>3676</v>
      </c>
      <c r="X99" s="27">
        <f>IF(RawSalesTable5[[#This Row],[Lookup_Status]]="Missing Product","",IFERROR(RawSalesTable5[[#This Row],[Profit]]/RawSalesTable5[[#This Row],[Net_Revenue]],0))</f>
        <v>0.48393891521853605</v>
      </c>
      <c r="Y99">
        <f>RawSalesTable5[[#This Row],[Ship_Date]]-RawSalesTable5[[#This Row],[Order_Date]]</f>
        <v>5</v>
      </c>
      <c r="Z99" s="28">
        <f>DATE(YEAR(RawSalesTable5[[#This Row],[Order_Date]]),MONTH(RawSalesTable5[[#This Row],[Order_Date]]),1)</f>
        <v>45962</v>
      </c>
      <c r="AA99" t="str" cm="1">
        <f t="array" ref="AA99">IF(RawSalesTable5[[#This Row],[Lookup_Status]]="Missing Product","",_xlfn.IFS(RawSalesTable5[[#This Row],[Net_Revenue]]&gt;=20000,"High",RawSalesTable5[[#This Row],[Net_Revenue]]&gt;=10000,"Medium",TRUE,"Low"))</f>
        <v>Low</v>
      </c>
    </row>
    <row r="100" spans="1:27">
      <c r="A100" t="s">
        <v>232</v>
      </c>
      <c r="B100" s="15">
        <v>45786</v>
      </c>
      <c r="C100" s="15">
        <v>45790</v>
      </c>
      <c r="D100" t="s">
        <v>212</v>
      </c>
      <c r="E100" t="s">
        <v>98</v>
      </c>
      <c r="F100" t="s">
        <v>102</v>
      </c>
      <c r="G100" t="s">
        <v>108</v>
      </c>
      <c r="H100" t="s">
        <v>86</v>
      </c>
      <c r="I100" s="17">
        <v>1</v>
      </c>
      <c r="J100" s="16">
        <v>0.15</v>
      </c>
      <c r="K100" t="s">
        <v>140</v>
      </c>
      <c r="L100" t="s">
        <v>89</v>
      </c>
      <c r="M100" s="17">
        <v>3</v>
      </c>
      <c r="N100" t="str" cm="1">
        <f t="array" ref="N100">_xlfn.XLOOKUP(RawSalesTable5[[#This Row],[Product_Code]],ProductLookupTable[[#All],[Product_Code]],ProductLookupTable[[#All],[Product_Name]],"NOT FOUND")</f>
        <v>SSD 1TB</v>
      </c>
      <c r="O100" t="str" cm="1">
        <f t="array" ref="O100">_xlfn.XLOOKUP(RawSalesTable5[[#This Row],[Product_Code]],ProductLookupTable[[#All],[Product_Code]],ProductLookupTable[[#All],[Category]],"NOT FOUND")</f>
        <v>Storage</v>
      </c>
      <c r="P100" cm="1">
        <f t="array" ref="P100">_xlfn.XLOOKUP(RawSalesTable5[[#This Row],[Product_Code]],ProductLookupTable[[#All],[Product_Code]],ProductLookupTable[[#All],[Unit_Price]],"NOT FOUND")</f>
        <v>6999</v>
      </c>
      <c r="Q100" t="str">
        <f>IF(COUNTIF(ProductLookupTable[Product_Code],RawSalesTable5[[#This Row],[Product_Code]])=0,"Missing Product","OK")</f>
        <v>OK</v>
      </c>
      <c r="R100" cm="1">
        <f t="array" ref="R100">_xlfn.XLOOKUP(RawSalesTable5[[#This Row],[Product_Code]],ProductLookupTable[[#All],[Product_Code]],ProductLookupTable[[#All],[Unit_Cost]],"NOT FOUND")</f>
        <v>4900</v>
      </c>
      <c r="S100">
        <f>IFERROR(RawSalesTable5[[#This Row],[Quantity]]*RawSalesTable5[[#This Row],[Unit_Price]],"NOT FOUND")</f>
        <v>6999</v>
      </c>
      <c r="T100">
        <f>IFERROR(RawSalesTable5[[#This Row],[Gross_Revenue]]*RawSalesTable5[[#This Row],[Discount_Pct]],"NOT FOUND")</f>
        <v>1049.8499999999999</v>
      </c>
      <c r="U100">
        <f>IFERROR(RawSalesTable5[[#This Row],[Gross_Revenue]]-RawSalesTable5[[#This Row],[Discount_Value]],"NOT FOUND")</f>
        <v>5949.15</v>
      </c>
      <c r="V100">
        <f>IFERROR(RawSalesTable5[[#This Row],[Quantity]]*RawSalesTable5[[#This Row],[Unit_Cost]],"NOT FOUND")</f>
        <v>4900</v>
      </c>
      <c r="W100">
        <f>IFERROR(RawSalesTable5[[#This Row],[Net_Revenue]]-RawSalesTable5[[#This Row],[Cost]],"NOT FOUND")</f>
        <v>1049.1499999999996</v>
      </c>
      <c r="X100" s="27">
        <f>IF(RawSalesTable5[[#This Row],[Lookup_Status]]="Missing Product","",IFERROR(RawSalesTable5[[#This Row],[Profit]]/RawSalesTable5[[#This Row],[Net_Revenue]],0))</f>
        <v>0.17635292436734654</v>
      </c>
      <c r="Y100">
        <f>RawSalesTable5[[#This Row],[Ship_Date]]-RawSalesTable5[[#This Row],[Order_Date]]</f>
        <v>4</v>
      </c>
      <c r="Z100" s="28">
        <f>DATE(YEAR(RawSalesTable5[[#This Row],[Order_Date]]),MONTH(RawSalesTable5[[#This Row],[Order_Date]]),1)</f>
        <v>45778</v>
      </c>
      <c r="AA100" t="str" cm="1">
        <f t="array" ref="AA100">IF(RawSalesTable5[[#This Row],[Lookup_Status]]="Missing Product","",_xlfn.IFS(RawSalesTable5[[#This Row],[Net_Revenue]]&gt;=20000,"High",RawSalesTable5[[#This Row],[Net_Revenue]]&gt;=10000,"Medium",TRUE,"Low"))</f>
        <v>Low</v>
      </c>
    </row>
    <row r="101" spans="1:27">
      <c r="A101" t="s">
        <v>233</v>
      </c>
      <c r="B101" s="15">
        <v>45899</v>
      </c>
      <c r="C101" s="15">
        <v>45906</v>
      </c>
      <c r="D101" t="s">
        <v>123</v>
      </c>
      <c r="E101" t="s">
        <v>101</v>
      </c>
      <c r="F101" t="s">
        <v>85</v>
      </c>
      <c r="G101" t="s">
        <v>86</v>
      </c>
      <c r="H101" t="s">
        <v>103</v>
      </c>
      <c r="I101" s="17">
        <v>5</v>
      </c>
      <c r="J101" s="16">
        <v>0</v>
      </c>
      <c r="K101" t="s">
        <v>88</v>
      </c>
      <c r="L101" t="s">
        <v>89</v>
      </c>
      <c r="M101" s="17">
        <v>4</v>
      </c>
      <c r="N101" t="str" cm="1">
        <f t="array" ref="N101">_xlfn.XLOOKUP(RawSalesTable5[[#This Row],[Product_Code]],ProductLookupTable[[#All],[Product_Code]],ProductLookupTable[[#All],[Product_Name]],"NOT FOUND")</f>
        <v>Ergonomic Chair</v>
      </c>
      <c r="O101" t="str" cm="1">
        <f t="array" ref="O101">_xlfn.XLOOKUP(RawSalesTable5[[#This Row],[Product_Code]],ProductLookupTable[[#All],[Product_Code]],ProductLookupTable[[#All],[Category]],"NOT FOUND")</f>
        <v>Furniture</v>
      </c>
      <c r="P101" cm="1">
        <f t="array" ref="P101">_xlfn.XLOOKUP(RawSalesTable5[[#This Row],[Product_Code]],ProductLookupTable[[#All],[Product_Code]],ProductLookupTable[[#All],[Unit_Price]],"NOT FOUND")</f>
        <v>10499</v>
      </c>
      <c r="Q101" t="str">
        <f>IF(COUNTIF(ProductLookupTable[Product_Code],RawSalesTable5[[#This Row],[Product_Code]])=0,"Missing Product","OK")</f>
        <v>OK</v>
      </c>
      <c r="R101" cm="1">
        <f t="array" ref="R101">_xlfn.XLOOKUP(RawSalesTable5[[#This Row],[Product_Code]],ProductLookupTable[[#All],[Product_Code]],ProductLookupTable[[#All],[Unit_Cost]],"NOT FOUND")</f>
        <v>7600</v>
      </c>
      <c r="S101">
        <f>IFERROR(RawSalesTable5[[#This Row],[Quantity]]*RawSalesTable5[[#This Row],[Unit_Price]],"NOT FOUND")</f>
        <v>52495</v>
      </c>
      <c r="T101">
        <f>IFERROR(RawSalesTable5[[#This Row],[Gross_Revenue]]*RawSalesTable5[[#This Row],[Discount_Pct]],"NOT FOUND")</f>
        <v>0</v>
      </c>
      <c r="U101">
        <f>IFERROR(RawSalesTable5[[#This Row],[Gross_Revenue]]-RawSalesTable5[[#This Row],[Discount_Value]],"NOT FOUND")</f>
        <v>52495</v>
      </c>
      <c r="V101">
        <f>IFERROR(RawSalesTable5[[#This Row],[Quantity]]*RawSalesTable5[[#This Row],[Unit_Cost]],"NOT FOUND")</f>
        <v>38000</v>
      </c>
      <c r="W101">
        <f>IFERROR(RawSalesTable5[[#This Row],[Net_Revenue]]-RawSalesTable5[[#This Row],[Cost]],"NOT FOUND")</f>
        <v>14495</v>
      </c>
      <c r="X101" s="27">
        <f>IF(RawSalesTable5[[#This Row],[Lookup_Status]]="Missing Product","",IFERROR(RawSalesTable5[[#This Row],[Profit]]/RawSalesTable5[[#This Row],[Net_Revenue]],0))</f>
        <v>0.27612153538432233</v>
      </c>
      <c r="Y101">
        <f>RawSalesTable5[[#This Row],[Ship_Date]]-RawSalesTable5[[#This Row],[Order_Date]]</f>
        <v>7</v>
      </c>
      <c r="Z101" s="28">
        <f>DATE(YEAR(RawSalesTable5[[#This Row],[Order_Date]]),MONTH(RawSalesTable5[[#This Row],[Order_Date]]),1)</f>
        <v>45870</v>
      </c>
      <c r="AA101" t="str" cm="1">
        <f t="array" ref="AA101">IF(RawSalesTable5[[#This Row],[Lookup_Status]]="Missing Product","",_xlfn.IFS(RawSalesTable5[[#This Row],[Net_Revenue]]&gt;=20000,"High",RawSalesTable5[[#This Row],[Net_Revenue]]&gt;=10000,"Medium",TRUE,"Low"))</f>
        <v>High</v>
      </c>
    </row>
    <row r="102" spans="1:27">
      <c r="A102" t="s">
        <v>234</v>
      </c>
      <c r="B102" s="15">
        <v>45820</v>
      </c>
      <c r="C102" s="15">
        <v>45826</v>
      </c>
      <c r="D102" t="s">
        <v>83</v>
      </c>
      <c r="E102" t="s">
        <v>106</v>
      </c>
      <c r="F102" t="s">
        <v>124</v>
      </c>
      <c r="G102" t="s">
        <v>94</v>
      </c>
      <c r="H102" t="s">
        <v>86</v>
      </c>
      <c r="I102" s="17">
        <v>4</v>
      </c>
      <c r="J102" s="16">
        <v>0.1</v>
      </c>
      <c r="K102" t="s">
        <v>112</v>
      </c>
      <c r="L102" t="s">
        <v>89</v>
      </c>
      <c r="M102" s="17">
        <v>4</v>
      </c>
      <c r="N102" t="str" cm="1">
        <f t="array" ref="N102">_xlfn.XLOOKUP(RawSalesTable5[[#This Row],[Product_Code]],ProductLookupTable[[#All],[Product_Code]],ProductLookupTable[[#All],[Product_Name]],"NOT FOUND")</f>
        <v>Wireless Mouse</v>
      </c>
      <c r="O102" t="str" cm="1">
        <f t="array" ref="O102">_xlfn.XLOOKUP(RawSalesTable5[[#This Row],[Product_Code]],ProductLookupTable[[#All],[Product_Code]],ProductLookupTable[[#All],[Category]],"NOT FOUND")</f>
        <v>Accessories</v>
      </c>
      <c r="P102" cm="1">
        <f t="array" ref="P102">_xlfn.XLOOKUP(RawSalesTable5[[#This Row],[Product_Code]],ProductLookupTable[[#All],[Product_Code]],ProductLookupTable[[#All],[Unit_Price]],"NOT FOUND")</f>
        <v>799</v>
      </c>
      <c r="Q102" t="str">
        <f>IF(COUNTIF(ProductLookupTable[Product_Code],RawSalesTable5[[#This Row],[Product_Code]])=0,"Missing Product","OK")</f>
        <v>OK</v>
      </c>
      <c r="R102" cm="1">
        <f t="array" ref="R102">_xlfn.XLOOKUP(RawSalesTable5[[#This Row],[Product_Code]],ProductLookupTable[[#All],[Product_Code]],ProductLookupTable[[#All],[Unit_Cost]],"NOT FOUND")</f>
        <v>420</v>
      </c>
      <c r="S102">
        <f>IFERROR(RawSalesTable5[[#This Row],[Quantity]]*RawSalesTable5[[#This Row],[Unit_Price]],"NOT FOUND")</f>
        <v>3196</v>
      </c>
      <c r="T102">
        <f>IFERROR(RawSalesTable5[[#This Row],[Gross_Revenue]]*RawSalesTable5[[#This Row],[Discount_Pct]],"NOT FOUND")</f>
        <v>319.60000000000002</v>
      </c>
      <c r="U102">
        <f>IFERROR(RawSalesTable5[[#This Row],[Gross_Revenue]]-RawSalesTable5[[#This Row],[Discount_Value]],"NOT FOUND")</f>
        <v>2876.4</v>
      </c>
      <c r="V102">
        <f>IFERROR(RawSalesTable5[[#This Row],[Quantity]]*RawSalesTable5[[#This Row],[Unit_Cost]],"NOT FOUND")</f>
        <v>1680</v>
      </c>
      <c r="W102">
        <f>IFERROR(RawSalesTable5[[#This Row],[Net_Revenue]]-RawSalesTable5[[#This Row],[Cost]],"NOT FOUND")</f>
        <v>1196.4000000000001</v>
      </c>
      <c r="X102" s="27">
        <f>IF(RawSalesTable5[[#This Row],[Lookup_Status]]="Missing Product","",IFERROR(RawSalesTable5[[#This Row],[Profit]]/RawSalesTable5[[#This Row],[Net_Revenue]],0))</f>
        <v>0.41593658740091782</v>
      </c>
      <c r="Y102">
        <f>RawSalesTable5[[#This Row],[Ship_Date]]-RawSalesTable5[[#This Row],[Order_Date]]</f>
        <v>6</v>
      </c>
      <c r="Z102" s="28">
        <f>DATE(YEAR(RawSalesTable5[[#This Row],[Order_Date]]),MONTH(RawSalesTable5[[#This Row],[Order_Date]]),1)</f>
        <v>45809</v>
      </c>
      <c r="AA102" t="str" cm="1">
        <f t="array" ref="AA102">IF(RawSalesTable5[[#This Row],[Lookup_Status]]="Missing Product","",_xlfn.IFS(RawSalesTable5[[#This Row],[Net_Revenue]]&gt;=20000,"High",RawSalesTable5[[#This Row],[Net_Revenue]]&gt;=10000,"Medium",TRUE,"Low"))</f>
        <v>Low</v>
      </c>
    </row>
    <row r="103" spans="1:27">
      <c r="A103" t="s">
        <v>235</v>
      </c>
      <c r="B103" s="15">
        <v>45978</v>
      </c>
      <c r="C103" s="15">
        <v>45981</v>
      </c>
      <c r="D103" t="s">
        <v>114</v>
      </c>
      <c r="E103" t="s">
        <v>111</v>
      </c>
      <c r="F103" t="s">
        <v>154</v>
      </c>
      <c r="G103" t="s">
        <v>108</v>
      </c>
      <c r="H103" t="s">
        <v>87</v>
      </c>
      <c r="I103" s="17">
        <v>3</v>
      </c>
      <c r="J103" s="16">
        <v>0.05</v>
      </c>
      <c r="K103" t="s">
        <v>88</v>
      </c>
      <c r="L103" t="s">
        <v>89</v>
      </c>
      <c r="M103" s="17">
        <v>3</v>
      </c>
      <c r="N103" t="str" cm="1">
        <f t="array" ref="N103">_xlfn.XLOOKUP(RawSalesTable5[[#This Row],[Product_Code]],ProductLookupTable[[#All],[Product_Code]],ProductLookupTable[[#All],[Product_Name]],"NOT FOUND")</f>
        <v>Laptop Stand</v>
      </c>
      <c r="O103" t="str" cm="1">
        <f t="array" ref="O103">_xlfn.XLOOKUP(RawSalesTable5[[#This Row],[Product_Code]],ProductLookupTable[[#All],[Product_Code]],ProductLookupTable[[#All],[Category]],"NOT FOUND")</f>
        <v>Accessories</v>
      </c>
      <c r="P103" cm="1">
        <f t="array" ref="P103">_xlfn.XLOOKUP(RawSalesTable5[[#This Row],[Product_Code]],ProductLookupTable[[#All],[Product_Code]],ProductLookupTable[[#All],[Unit_Price]],"NOT FOUND")</f>
        <v>1899</v>
      </c>
      <c r="Q103" t="str">
        <f>IF(COUNTIF(ProductLookupTable[Product_Code],RawSalesTable5[[#This Row],[Product_Code]])=0,"Missing Product","OK")</f>
        <v>OK</v>
      </c>
      <c r="R103" cm="1">
        <f t="array" ref="R103">_xlfn.XLOOKUP(RawSalesTable5[[#This Row],[Product_Code]],ProductLookupTable[[#All],[Product_Code]],ProductLookupTable[[#All],[Unit_Cost]],"NOT FOUND")</f>
        <v>980</v>
      </c>
      <c r="S103">
        <f>IFERROR(RawSalesTable5[[#This Row],[Quantity]]*RawSalesTable5[[#This Row],[Unit_Price]],"NOT FOUND")</f>
        <v>5697</v>
      </c>
      <c r="T103">
        <f>IFERROR(RawSalesTable5[[#This Row],[Gross_Revenue]]*RawSalesTable5[[#This Row],[Discount_Pct]],"NOT FOUND")</f>
        <v>284.85000000000002</v>
      </c>
      <c r="U103">
        <f>IFERROR(RawSalesTable5[[#This Row],[Gross_Revenue]]-RawSalesTable5[[#This Row],[Discount_Value]],"NOT FOUND")</f>
        <v>5412.15</v>
      </c>
      <c r="V103">
        <f>IFERROR(RawSalesTable5[[#This Row],[Quantity]]*RawSalesTable5[[#This Row],[Unit_Cost]],"NOT FOUND")</f>
        <v>2940</v>
      </c>
      <c r="W103">
        <f>IFERROR(RawSalesTable5[[#This Row],[Net_Revenue]]-RawSalesTable5[[#This Row],[Cost]],"NOT FOUND")</f>
        <v>2472.1499999999996</v>
      </c>
      <c r="X103" s="27">
        <f>IF(RawSalesTable5[[#This Row],[Lookup_Status]]="Missing Product","",IFERROR(RawSalesTable5[[#This Row],[Profit]]/RawSalesTable5[[#This Row],[Net_Revenue]],0))</f>
        <v>0.45677780549319585</v>
      </c>
      <c r="Y103">
        <f>RawSalesTable5[[#This Row],[Ship_Date]]-RawSalesTable5[[#This Row],[Order_Date]]</f>
        <v>3</v>
      </c>
      <c r="Z103" s="28">
        <f>DATE(YEAR(RawSalesTable5[[#This Row],[Order_Date]]),MONTH(RawSalesTable5[[#This Row],[Order_Date]]),1)</f>
        <v>45962</v>
      </c>
      <c r="AA103" t="str" cm="1">
        <f t="array" ref="AA103">IF(RawSalesTable5[[#This Row],[Lookup_Status]]="Missing Product","",_xlfn.IFS(RawSalesTable5[[#This Row],[Net_Revenue]]&gt;=20000,"High",RawSalesTable5[[#This Row],[Net_Revenue]]&gt;=10000,"Medium",TRUE,"Low"))</f>
        <v>Low</v>
      </c>
    </row>
    <row r="104" spans="1:27">
      <c r="A104" t="s">
        <v>236</v>
      </c>
      <c r="B104" s="15">
        <v>45904</v>
      </c>
      <c r="C104" s="15">
        <v>45912</v>
      </c>
      <c r="D104" t="s">
        <v>157</v>
      </c>
      <c r="E104" t="s">
        <v>84</v>
      </c>
      <c r="F104" t="s">
        <v>102</v>
      </c>
      <c r="G104" t="s">
        <v>86</v>
      </c>
      <c r="H104" t="s">
        <v>87</v>
      </c>
      <c r="I104" s="17">
        <v>4</v>
      </c>
      <c r="J104" s="16">
        <v>0.15</v>
      </c>
      <c r="K104" t="s">
        <v>112</v>
      </c>
      <c r="L104" t="s">
        <v>89</v>
      </c>
      <c r="M104" s="17">
        <v>5</v>
      </c>
      <c r="N104" t="str" cm="1">
        <f t="array" ref="N104">_xlfn.XLOOKUP(RawSalesTable5[[#This Row],[Product_Code]],ProductLookupTable[[#All],[Product_Code]],ProductLookupTable[[#All],[Product_Name]],"NOT FOUND")</f>
        <v>SSD 1TB</v>
      </c>
      <c r="O104" t="str" cm="1">
        <f t="array" ref="O104">_xlfn.XLOOKUP(RawSalesTable5[[#This Row],[Product_Code]],ProductLookupTable[[#All],[Product_Code]],ProductLookupTable[[#All],[Category]],"NOT FOUND")</f>
        <v>Storage</v>
      </c>
      <c r="P104" cm="1">
        <f t="array" ref="P104">_xlfn.XLOOKUP(RawSalesTable5[[#This Row],[Product_Code]],ProductLookupTable[[#All],[Product_Code]],ProductLookupTable[[#All],[Unit_Price]],"NOT FOUND")</f>
        <v>6999</v>
      </c>
      <c r="Q104" t="str">
        <f>IF(COUNTIF(ProductLookupTable[Product_Code],RawSalesTable5[[#This Row],[Product_Code]])=0,"Missing Product","OK")</f>
        <v>OK</v>
      </c>
      <c r="R104" cm="1">
        <f t="array" ref="R104">_xlfn.XLOOKUP(RawSalesTable5[[#This Row],[Product_Code]],ProductLookupTable[[#All],[Product_Code]],ProductLookupTable[[#All],[Unit_Cost]],"NOT FOUND")</f>
        <v>4900</v>
      </c>
      <c r="S104">
        <f>IFERROR(RawSalesTable5[[#This Row],[Quantity]]*RawSalesTable5[[#This Row],[Unit_Price]],"NOT FOUND")</f>
        <v>27996</v>
      </c>
      <c r="T104">
        <f>IFERROR(RawSalesTable5[[#This Row],[Gross_Revenue]]*RawSalesTable5[[#This Row],[Discount_Pct]],"NOT FOUND")</f>
        <v>4199.3999999999996</v>
      </c>
      <c r="U104">
        <f>IFERROR(RawSalesTable5[[#This Row],[Gross_Revenue]]-RawSalesTable5[[#This Row],[Discount_Value]],"NOT FOUND")</f>
        <v>23796.6</v>
      </c>
      <c r="V104">
        <f>IFERROR(RawSalesTable5[[#This Row],[Quantity]]*RawSalesTable5[[#This Row],[Unit_Cost]],"NOT FOUND")</f>
        <v>19600</v>
      </c>
      <c r="W104">
        <f>IFERROR(RawSalesTable5[[#This Row],[Net_Revenue]]-RawSalesTable5[[#This Row],[Cost]],"NOT FOUND")</f>
        <v>4196.5999999999985</v>
      </c>
      <c r="X104" s="27">
        <f>IF(RawSalesTable5[[#This Row],[Lookup_Status]]="Missing Product","",IFERROR(RawSalesTable5[[#This Row],[Profit]]/RawSalesTable5[[#This Row],[Net_Revenue]],0))</f>
        <v>0.17635292436734654</v>
      </c>
      <c r="Y104">
        <f>RawSalesTable5[[#This Row],[Ship_Date]]-RawSalesTable5[[#This Row],[Order_Date]]</f>
        <v>8</v>
      </c>
      <c r="Z104" s="28">
        <f>DATE(YEAR(RawSalesTable5[[#This Row],[Order_Date]]),MONTH(RawSalesTable5[[#This Row],[Order_Date]]),1)</f>
        <v>45901</v>
      </c>
      <c r="AA104" t="str" cm="1">
        <f t="array" ref="AA104">IF(RawSalesTable5[[#This Row],[Lookup_Status]]="Missing Product","",_xlfn.IFS(RawSalesTable5[[#This Row],[Net_Revenue]]&gt;=20000,"High",RawSalesTable5[[#This Row],[Net_Revenue]]&gt;=10000,"Medium",TRUE,"Low"))</f>
        <v>High</v>
      </c>
    </row>
    <row r="105" spans="1:27">
      <c r="A105" t="s">
        <v>237</v>
      </c>
      <c r="B105" s="15">
        <v>45796</v>
      </c>
      <c r="C105" s="15">
        <v>45802</v>
      </c>
      <c r="D105" t="s">
        <v>212</v>
      </c>
      <c r="E105" t="s">
        <v>92</v>
      </c>
      <c r="F105" t="s">
        <v>107</v>
      </c>
      <c r="G105" t="s">
        <v>125</v>
      </c>
      <c r="H105" t="s">
        <v>103</v>
      </c>
      <c r="I105" s="17">
        <v>2</v>
      </c>
      <c r="J105" s="16">
        <v>0</v>
      </c>
      <c r="K105" t="s">
        <v>88</v>
      </c>
      <c r="L105" t="s">
        <v>89</v>
      </c>
      <c r="M105" s="17">
        <v>4</v>
      </c>
      <c r="N105" t="str" cm="1">
        <f t="array" ref="N105">_xlfn.XLOOKUP(RawSalesTable5[[#This Row],[Product_Code]],ProductLookupTable[[#All],[Product_Code]],ProductLookupTable[[#All],[Product_Name]],"NOT FOUND")</f>
        <v>Bluetooth Speaker</v>
      </c>
      <c r="O105" t="str" cm="1">
        <f t="array" ref="O105">_xlfn.XLOOKUP(RawSalesTable5[[#This Row],[Product_Code]],ProductLookupTable[[#All],[Product_Code]],ProductLookupTable[[#All],[Category]],"NOT FOUND")</f>
        <v>Audio</v>
      </c>
      <c r="P105" cm="1">
        <f t="array" ref="P105">_xlfn.XLOOKUP(RawSalesTable5[[#This Row],[Product_Code]],ProductLookupTable[[#All],[Product_Code]],ProductLookupTable[[#All],[Unit_Price]],"NOT FOUND")</f>
        <v>2799</v>
      </c>
      <c r="Q105" t="str">
        <f>IF(COUNTIF(ProductLookupTable[Product_Code],RawSalesTable5[[#This Row],[Product_Code]])=0,"Missing Product","OK")</f>
        <v>OK</v>
      </c>
      <c r="R105" cm="1">
        <f t="array" ref="R105">_xlfn.XLOOKUP(RawSalesTable5[[#This Row],[Product_Code]],ProductLookupTable[[#All],[Product_Code]],ProductLookupTable[[#All],[Unit_Cost]],"NOT FOUND")</f>
        <v>1650</v>
      </c>
      <c r="S105">
        <f>IFERROR(RawSalesTable5[[#This Row],[Quantity]]*RawSalesTable5[[#This Row],[Unit_Price]],"NOT FOUND")</f>
        <v>5598</v>
      </c>
      <c r="T105">
        <f>IFERROR(RawSalesTable5[[#This Row],[Gross_Revenue]]*RawSalesTable5[[#This Row],[Discount_Pct]],"NOT FOUND")</f>
        <v>0</v>
      </c>
      <c r="U105">
        <f>IFERROR(RawSalesTable5[[#This Row],[Gross_Revenue]]-RawSalesTable5[[#This Row],[Discount_Value]],"NOT FOUND")</f>
        <v>5598</v>
      </c>
      <c r="V105">
        <f>IFERROR(RawSalesTable5[[#This Row],[Quantity]]*RawSalesTable5[[#This Row],[Unit_Cost]],"NOT FOUND")</f>
        <v>3300</v>
      </c>
      <c r="W105">
        <f>IFERROR(RawSalesTable5[[#This Row],[Net_Revenue]]-RawSalesTable5[[#This Row],[Cost]],"NOT FOUND")</f>
        <v>2298</v>
      </c>
      <c r="X105" s="27">
        <f>IF(RawSalesTable5[[#This Row],[Lookup_Status]]="Missing Product","",IFERROR(RawSalesTable5[[#This Row],[Profit]]/RawSalesTable5[[#This Row],[Net_Revenue]],0))</f>
        <v>0.41050375133976419</v>
      </c>
      <c r="Y105">
        <f>RawSalesTable5[[#This Row],[Ship_Date]]-RawSalesTable5[[#This Row],[Order_Date]]</f>
        <v>6</v>
      </c>
      <c r="Z105" s="28">
        <f>DATE(YEAR(RawSalesTable5[[#This Row],[Order_Date]]),MONTH(RawSalesTable5[[#This Row],[Order_Date]]),1)</f>
        <v>45778</v>
      </c>
      <c r="AA105" t="str" cm="1">
        <f t="array" ref="AA105">IF(RawSalesTable5[[#This Row],[Lookup_Status]]="Missing Product","",_xlfn.IFS(RawSalesTable5[[#This Row],[Net_Revenue]]&gt;=20000,"High",RawSalesTable5[[#This Row],[Net_Revenue]]&gt;=10000,"Medium",TRUE,"Low"))</f>
        <v>Low</v>
      </c>
    </row>
    <row r="106" spans="1:27">
      <c r="A106" t="s">
        <v>238</v>
      </c>
      <c r="B106" s="15">
        <v>45814</v>
      </c>
      <c r="C106" s="15">
        <v>45818</v>
      </c>
      <c r="D106" t="s">
        <v>123</v>
      </c>
      <c r="E106" t="s">
        <v>98</v>
      </c>
      <c r="F106" t="s">
        <v>121</v>
      </c>
      <c r="G106" t="s">
        <v>125</v>
      </c>
      <c r="H106" t="s">
        <v>103</v>
      </c>
      <c r="I106" s="17">
        <v>5</v>
      </c>
      <c r="J106" s="16">
        <v>0.05</v>
      </c>
      <c r="K106" t="s">
        <v>95</v>
      </c>
      <c r="L106" t="s">
        <v>89</v>
      </c>
      <c r="M106" s="17">
        <v>3</v>
      </c>
      <c r="N106" t="str" cm="1">
        <f t="array" ref="N106">_xlfn.XLOOKUP(RawSalesTable5[[#This Row],[Product_Code]],ProductLookupTable[[#All],[Product_Code]],ProductLookupTable[[#All],[Product_Name]],"NOT FOUND")</f>
        <v>HD Webcam</v>
      </c>
      <c r="O106" t="str" cm="1">
        <f t="array" ref="O106">_xlfn.XLOOKUP(RawSalesTable5[[#This Row],[Product_Code]],ProductLookupTable[[#All],[Product_Code]],ProductLookupTable[[#All],[Category]],"NOT FOUND")</f>
        <v>Accessories</v>
      </c>
      <c r="P106" cm="1">
        <f t="array" ref="P106">_xlfn.XLOOKUP(RawSalesTable5[[#This Row],[Product_Code]],ProductLookupTable[[#All],[Product_Code]],ProductLookupTable[[#All],[Unit_Price]],"NOT FOUND")</f>
        <v>2899</v>
      </c>
      <c r="Q106" t="str">
        <f>IF(COUNTIF(ProductLookupTable[Product_Code],RawSalesTable5[[#This Row],[Product_Code]])=0,"Missing Product","OK")</f>
        <v>OK</v>
      </c>
      <c r="R106" cm="1">
        <f t="array" ref="R106">_xlfn.XLOOKUP(RawSalesTable5[[#This Row],[Product_Code]],ProductLookupTable[[#All],[Product_Code]],ProductLookupTable[[#All],[Unit_Cost]],"NOT FOUND")</f>
        <v>1700</v>
      </c>
      <c r="S106">
        <f>IFERROR(RawSalesTable5[[#This Row],[Quantity]]*RawSalesTable5[[#This Row],[Unit_Price]],"NOT FOUND")</f>
        <v>14495</v>
      </c>
      <c r="T106">
        <f>IFERROR(RawSalesTable5[[#This Row],[Gross_Revenue]]*RawSalesTable5[[#This Row],[Discount_Pct]],"NOT FOUND")</f>
        <v>724.75</v>
      </c>
      <c r="U106">
        <f>IFERROR(RawSalesTable5[[#This Row],[Gross_Revenue]]-RawSalesTable5[[#This Row],[Discount_Value]],"NOT FOUND")</f>
        <v>13770.25</v>
      </c>
      <c r="V106">
        <f>IFERROR(RawSalesTable5[[#This Row],[Quantity]]*RawSalesTable5[[#This Row],[Unit_Cost]],"NOT FOUND")</f>
        <v>8500</v>
      </c>
      <c r="W106">
        <f>IFERROR(RawSalesTable5[[#This Row],[Net_Revenue]]-RawSalesTable5[[#This Row],[Cost]],"NOT FOUND")</f>
        <v>5270.25</v>
      </c>
      <c r="X106" s="27">
        <f>IF(RawSalesTable5[[#This Row],[Lookup_Status]]="Missing Product","",IFERROR(RawSalesTable5[[#This Row],[Profit]]/RawSalesTable5[[#This Row],[Net_Revenue]],0))</f>
        <v>0.38272725622265391</v>
      </c>
      <c r="Y106">
        <f>RawSalesTable5[[#This Row],[Ship_Date]]-RawSalesTable5[[#This Row],[Order_Date]]</f>
        <v>4</v>
      </c>
      <c r="Z106" s="28">
        <f>DATE(YEAR(RawSalesTable5[[#This Row],[Order_Date]]),MONTH(RawSalesTable5[[#This Row],[Order_Date]]),1)</f>
        <v>45809</v>
      </c>
      <c r="AA106" t="str" cm="1">
        <f t="array" ref="AA106">IF(RawSalesTable5[[#This Row],[Lookup_Status]]="Missing Product","",_xlfn.IFS(RawSalesTable5[[#This Row],[Net_Revenue]]&gt;=20000,"High",RawSalesTable5[[#This Row],[Net_Revenue]]&gt;=10000,"Medium",TRUE,"Low"))</f>
        <v>Medium</v>
      </c>
    </row>
    <row r="107" spans="1:27">
      <c r="A107" t="s">
        <v>239</v>
      </c>
      <c r="B107" s="15">
        <v>45784</v>
      </c>
      <c r="C107" s="15">
        <v>45788</v>
      </c>
      <c r="D107" t="s">
        <v>83</v>
      </c>
      <c r="E107" t="s">
        <v>101</v>
      </c>
      <c r="F107" t="s">
        <v>93</v>
      </c>
      <c r="G107" t="s">
        <v>108</v>
      </c>
      <c r="H107" t="s">
        <v>87</v>
      </c>
      <c r="I107" s="17">
        <v>1</v>
      </c>
      <c r="J107" s="16">
        <v>0</v>
      </c>
      <c r="K107" t="s">
        <v>88</v>
      </c>
      <c r="L107" t="s">
        <v>89</v>
      </c>
      <c r="M107" s="17">
        <v>5</v>
      </c>
      <c r="N107" t="str" cm="1">
        <f t="array" ref="N107">_xlfn.XLOOKUP(RawSalesTable5[[#This Row],[Product_Code]],ProductLookupTable[[#All],[Product_Code]],ProductLookupTable[[#All],[Product_Name]],"NOT FOUND")</f>
        <v>Wireless Headset</v>
      </c>
      <c r="O107" t="str" cm="1">
        <f t="array" ref="O107">_xlfn.XLOOKUP(RawSalesTable5[[#This Row],[Product_Code]],ProductLookupTable[[#All],[Product_Code]],ProductLookupTable[[#All],[Category]],"NOT FOUND")</f>
        <v>Audio</v>
      </c>
      <c r="P107" cm="1">
        <f t="array" ref="P107">_xlfn.XLOOKUP(RawSalesTable5[[#This Row],[Product_Code]],ProductLookupTable[[#All],[Product_Code]],ProductLookupTable[[#All],[Unit_Price]],"NOT FOUND")</f>
        <v>3499</v>
      </c>
      <c r="Q107" t="str">
        <f>IF(COUNTIF(ProductLookupTable[Product_Code],RawSalesTable5[[#This Row],[Product_Code]])=0,"Missing Product","OK")</f>
        <v>OK</v>
      </c>
      <c r="R107" cm="1">
        <f t="array" ref="R107">_xlfn.XLOOKUP(RawSalesTable5[[#This Row],[Product_Code]],ProductLookupTable[[#All],[Product_Code]],ProductLookupTable[[#All],[Unit_Cost]],"NOT FOUND")</f>
        <v>2100</v>
      </c>
      <c r="S107">
        <f>IFERROR(RawSalesTable5[[#This Row],[Quantity]]*RawSalesTable5[[#This Row],[Unit_Price]],"NOT FOUND")</f>
        <v>3499</v>
      </c>
      <c r="T107">
        <f>IFERROR(RawSalesTable5[[#This Row],[Gross_Revenue]]*RawSalesTable5[[#This Row],[Discount_Pct]],"NOT FOUND")</f>
        <v>0</v>
      </c>
      <c r="U107">
        <f>IFERROR(RawSalesTable5[[#This Row],[Gross_Revenue]]-RawSalesTable5[[#This Row],[Discount_Value]],"NOT FOUND")</f>
        <v>3499</v>
      </c>
      <c r="V107">
        <f>IFERROR(RawSalesTable5[[#This Row],[Quantity]]*RawSalesTable5[[#This Row],[Unit_Cost]],"NOT FOUND")</f>
        <v>2100</v>
      </c>
      <c r="W107">
        <f>IFERROR(RawSalesTable5[[#This Row],[Net_Revenue]]-RawSalesTable5[[#This Row],[Cost]],"NOT FOUND")</f>
        <v>1399</v>
      </c>
      <c r="X107" s="27">
        <f>IF(RawSalesTable5[[#This Row],[Lookup_Status]]="Missing Product","",IFERROR(RawSalesTable5[[#This Row],[Profit]]/RawSalesTable5[[#This Row],[Net_Revenue]],0))</f>
        <v>0.3998285224349814</v>
      </c>
      <c r="Y107">
        <f>RawSalesTable5[[#This Row],[Ship_Date]]-RawSalesTable5[[#This Row],[Order_Date]]</f>
        <v>4</v>
      </c>
      <c r="Z107" s="28">
        <f>DATE(YEAR(RawSalesTable5[[#This Row],[Order_Date]]),MONTH(RawSalesTable5[[#This Row],[Order_Date]]),1)</f>
        <v>45778</v>
      </c>
      <c r="AA107" t="str" cm="1">
        <f t="array" ref="AA107">IF(RawSalesTable5[[#This Row],[Lookup_Status]]="Missing Product","",_xlfn.IFS(RawSalesTable5[[#This Row],[Net_Revenue]]&gt;=20000,"High",RawSalesTable5[[#This Row],[Net_Revenue]]&gt;=10000,"Medium",TRUE,"Low"))</f>
        <v>Low</v>
      </c>
    </row>
    <row r="108" spans="1:27">
      <c r="A108" t="s">
        <v>240</v>
      </c>
      <c r="B108" s="15">
        <v>45998</v>
      </c>
      <c r="C108" s="15">
        <v>46005</v>
      </c>
      <c r="D108" t="s">
        <v>114</v>
      </c>
      <c r="E108" t="s">
        <v>106</v>
      </c>
      <c r="F108" t="s">
        <v>93</v>
      </c>
      <c r="G108" t="s">
        <v>125</v>
      </c>
      <c r="H108" t="s">
        <v>87</v>
      </c>
      <c r="I108" s="17">
        <v>5</v>
      </c>
      <c r="J108" s="16">
        <v>0.15</v>
      </c>
      <c r="K108" t="s">
        <v>140</v>
      </c>
      <c r="L108" t="s">
        <v>89</v>
      </c>
      <c r="M108" s="17">
        <v>3</v>
      </c>
      <c r="N108" t="str" cm="1">
        <f t="array" ref="N108">_xlfn.XLOOKUP(RawSalesTable5[[#This Row],[Product_Code]],ProductLookupTable[[#All],[Product_Code]],ProductLookupTable[[#All],[Product_Name]],"NOT FOUND")</f>
        <v>Wireless Headset</v>
      </c>
      <c r="O108" t="str" cm="1">
        <f t="array" ref="O108">_xlfn.XLOOKUP(RawSalesTable5[[#This Row],[Product_Code]],ProductLookupTable[[#All],[Product_Code]],ProductLookupTable[[#All],[Category]],"NOT FOUND")</f>
        <v>Audio</v>
      </c>
      <c r="P108" cm="1">
        <f t="array" ref="P108">_xlfn.XLOOKUP(RawSalesTable5[[#This Row],[Product_Code]],ProductLookupTable[[#All],[Product_Code]],ProductLookupTable[[#All],[Unit_Price]],"NOT FOUND")</f>
        <v>3499</v>
      </c>
      <c r="Q108" t="str">
        <f>IF(COUNTIF(ProductLookupTable[Product_Code],RawSalesTable5[[#This Row],[Product_Code]])=0,"Missing Product","OK")</f>
        <v>OK</v>
      </c>
      <c r="R108" cm="1">
        <f t="array" ref="R108">_xlfn.XLOOKUP(RawSalesTable5[[#This Row],[Product_Code]],ProductLookupTable[[#All],[Product_Code]],ProductLookupTable[[#All],[Unit_Cost]],"NOT FOUND")</f>
        <v>2100</v>
      </c>
      <c r="S108">
        <f>IFERROR(RawSalesTable5[[#This Row],[Quantity]]*RawSalesTable5[[#This Row],[Unit_Price]],"NOT FOUND")</f>
        <v>17495</v>
      </c>
      <c r="T108">
        <f>IFERROR(RawSalesTable5[[#This Row],[Gross_Revenue]]*RawSalesTable5[[#This Row],[Discount_Pct]],"NOT FOUND")</f>
        <v>2624.25</v>
      </c>
      <c r="U108">
        <f>IFERROR(RawSalesTable5[[#This Row],[Gross_Revenue]]-RawSalesTable5[[#This Row],[Discount_Value]],"NOT FOUND")</f>
        <v>14870.75</v>
      </c>
      <c r="V108">
        <f>IFERROR(RawSalesTable5[[#This Row],[Quantity]]*RawSalesTable5[[#This Row],[Unit_Cost]],"NOT FOUND")</f>
        <v>10500</v>
      </c>
      <c r="W108">
        <f>IFERROR(RawSalesTable5[[#This Row],[Net_Revenue]]-RawSalesTable5[[#This Row],[Cost]],"NOT FOUND")</f>
        <v>4370.75</v>
      </c>
      <c r="X108" s="27">
        <f>IF(RawSalesTable5[[#This Row],[Lookup_Status]]="Missing Product","",IFERROR(RawSalesTable5[[#This Row],[Profit]]/RawSalesTable5[[#This Row],[Net_Revenue]],0))</f>
        <v>0.29391590874703699</v>
      </c>
      <c r="Y108">
        <f>RawSalesTable5[[#This Row],[Ship_Date]]-RawSalesTable5[[#This Row],[Order_Date]]</f>
        <v>7</v>
      </c>
      <c r="Z108" s="28">
        <f>DATE(YEAR(RawSalesTable5[[#This Row],[Order_Date]]),MONTH(RawSalesTable5[[#This Row],[Order_Date]]),1)</f>
        <v>45992</v>
      </c>
      <c r="AA108" t="str" cm="1">
        <f t="array" ref="AA108">IF(RawSalesTable5[[#This Row],[Lookup_Status]]="Missing Product","",_xlfn.IFS(RawSalesTable5[[#This Row],[Net_Revenue]]&gt;=20000,"High",RawSalesTable5[[#This Row],[Net_Revenue]]&gt;=10000,"Medium",TRUE,"Low"))</f>
        <v>Medium</v>
      </c>
    </row>
    <row r="109" spans="1:27">
      <c r="A109" t="s">
        <v>241</v>
      </c>
      <c r="B109" s="15">
        <v>45894</v>
      </c>
      <c r="C109" s="15">
        <v>45898</v>
      </c>
      <c r="D109" t="s">
        <v>157</v>
      </c>
      <c r="E109" t="s">
        <v>111</v>
      </c>
      <c r="F109" t="s">
        <v>102</v>
      </c>
      <c r="G109" t="s">
        <v>86</v>
      </c>
      <c r="H109" t="s">
        <v>103</v>
      </c>
      <c r="I109" s="17">
        <v>1</v>
      </c>
      <c r="J109" s="16">
        <v>0</v>
      </c>
      <c r="K109" t="s">
        <v>88</v>
      </c>
      <c r="L109" t="s">
        <v>89</v>
      </c>
      <c r="M109" s="17">
        <v>4</v>
      </c>
      <c r="N109" t="str" cm="1">
        <f t="array" ref="N109">_xlfn.XLOOKUP(RawSalesTable5[[#This Row],[Product_Code]],ProductLookupTable[[#All],[Product_Code]],ProductLookupTable[[#All],[Product_Name]],"NOT FOUND")</f>
        <v>SSD 1TB</v>
      </c>
      <c r="O109" t="str" cm="1">
        <f t="array" ref="O109">_xlfn.XLOOKUP(RawSalesTable5[[#This Row],[Product_Code]],ProductLookupTable[[#All],[Product_Code]],ProductLookupTable[[#All],[Category]],"NOT FOUND")</f>
        <v>Storage</v>
      </c>
      <c r="P109" cm="1">
        <f t="array" ref="P109">_xlfn.XLOOKUP(RawSalesTable5[[#This Row],[Product_Code]],ProductLookupTable[[#All],[Product_Code]],ProductLookupTable[[#All],[Unit_Price]],"NOT FOUND")</f>
        <v>6999</v>
      </c>
      <c r="Q109" t="str">
        <f>IF(COUNTIF(ProductLookupTable[Product_Code],RawSalesTable5[[#This Row],[Product_Code]])=0,"Missing Product","OK")</f>
        <v>OK</v>
      </c>
      <c r="R109" cm="1">
        <f t="array" ref="R109">_xlfn.XLOOKUP(RawSalesTable5[[#This Row],[Product_Code]],ProductLookupTable[[#All],[Product_Code]],ProductLookupTable[[#All],[Unit_Cost]],"NOT FOUND")</f>
        <v>4900</v>
      </c>
      <c r="S109">
        <f>IFERROR(RawSalesTable5[[#This Row],[Quantity]]*RawSalesTable5[[#This Row],[Unit_Price]],"NOT FOUND")</f>
        <v>6999</v>
      </c>
      <c r="T109">
        <f>IFERROR(RawSalesTable5[[#This Row],[Gross_Revenue]]*RawSalesTable5[[#This Row],[Discount_Pct]],"NOT FOUND")</f>
        <v>0</v>
      </c>
      <c r="U109">
        <f>IFERROR(RawSalesTable5[[#This Row],[Gross_Revenue]]-RawSalesTable5[[#This Row],[Discount_Value]],"NOT FOUND")</f>
        <v>6999</v>
      </c>
      <c r="V109">
        <f>IFERROR(RawSalesTable5[[#This Row],[Quantity]]*RawSalesTable5[[#This Row],[Unit_Cost]],"NOT FOUND")</f>
        <v>4900</v>
      </c>
      <c r="W109">
        <f>IFERROR(RawSalesTable5[[#This Row],[Net_Revenue]]-RawSalesTable5[[#This Row],[Cost]],"NOT FOUND")</f>
        <v>2099</v>
      </c>
      <c r="X109" s="27">
        <f>IF(RawSalesTable5[[#This Row],[Lookup_Status]]="Missing Product","",IFERROR(RawSalesTable5[[#This Row],[Profit]]/RawSalesTable5[[#This Row],[Net_Revenue]],0))</f>
        <v>0.29989998571224463</v>
      </c>
      <c r="Y109">
        <f>RawSalesTable5[[#This Row],[Ship_Date]]-RawSalesTable5[[#This Row],[Order_Date]]</f>
        <v>4</v>
      </c>
      <c r="Z109" s="28">
        <f>DATE(YEAR(RawSalesTable5[[#This Row],[Order_Date]]),MONTH(RawSalesTable5[[#This Row],[Order_Date]]),1)</f>
        <v>45870</v>
      </c>
      <c r="AA109" t="str" cm="1">
        <f t="array" ref="AA109">IF(RawSalesTable5[[#This Row],[Lookup_Status]]="Missing Product","",_xlfn.IFS(RawSalesTable5[[#This Row],[Net_Revenue]]&gt;=20000,"High",RawSalesTable5[[#This Row],[Net_Revenue]]&gt;=10000,"Medium",TRUE,"Low"))</f>
        <v>Low</v>
      </c>
    </row>
    <row r="110" spans="1:27">
      <c r="A110" t="s">
        <v>242</v>
      </c>
      <c r="B110" s="15">
        <v>46011</v>
      </c>
      <c r="C110" s="15">
        <v>46016</v>
      </c>
      <c r="D110" t="s">
        <v>212</v>
      </c>
      <c r="E110" t="s">
        <v>84</v>
      </c>
      <c r="F110" t="s">
        <v>102</v>
      </c>
      <c r="G110" t="s">
        <v>94</v>
      </c>
      <c r="H110" t="s">
        <v>103</v>
      </c>
      <c r="I110" s="17">
        <v>5</v>
      </c>
      <c r="J110" s="16">
        <v>0.2</v>
      </c>
      <c r="K110" t="s">
        <v>112</v>
      </c>
      <c r="L110" t="s">
        <v>89</v>
      </c>
      <c r="M110" s="17">
        <v>4</v>
      </c>
      <c r="N110" t="str" cm="1">
        <f t="array" ref="N110">_xlfn.XLOOKUP(RawSalesTable5[[#This Row],[Product_Code]],ProductLookupTable[[#All],[Product_Code]],ProductLookupTable[[#All],[Product_Name]],"NOT FOUND")</f>
        <v>SSD 1TB</v>
      </c>
      <c r="O110" t="str" cm="1">
        <f t="array" ref="O110">_xlfn.XLOOKUP(RawSalesTable5[[#This Row],[Product_Code]],ProductLookupTable[[#All],[Product_Code]],ProductLookupTable[[#All],[Category]],"NOT FOUND")</f>
        <v>Storage</v>
      </c>
      <c r="P110" cm="1">
        <f t="array" ref="P110">_xlfn.XLOOKUP(RawSalesTable5[[#This Row],[Product_Code]],ProductLookupTable[[#All],[Product_Code]],ProductLookupTable[[#All],[Unit_Price]],"NOT FOUND")</f>
        <v>6999</v>
      </c>
      <c r="Q110" t="str">
        <f>IF(COUNTIF(ProductLookupTable[Product_Code],RawSalesTable5[[#This Row],[Product_Code]])=0,"Missing Product","OK")</f>
        <v>OK</v>
      </c>
      <c r="R110" cm="1">
        <f t="array" ref="R110">_xlfn.XLOOKUP(RawSalesTable5[[#This Row],[Product_Code]],ProductLookupTable[[#All],[Product_Code]],ProductLookupTable[[#All],[Unit_Cost]],"NOT FOUND")</f>
        <v>4900</v>
      </c>
      <c r="S110">
        <f>IFERROR(RawSalesTable5[[#This Row],[Quantity]]*RawSalesTable5[[#This Row],[Unit_Price]],"NOT FOUND")</f>
        <v>34995</v>
      </c>
      <c r="T110">
        <f>IFERROR(RawSalesTable5[[#This Row],[Gross_Revenue]]*RawSalesTable5[[#This Row],[Discount_Pct]],"NOT FOUND")</f>
        <v>6999</v>
      </c>
      <c r="U110">
        <f>IFERROR(RawSalesTable5[[#This Row],[Gross_Revenue]]-RawSalesTable5[[#This Row],[Discount_Value]],"NOT FOUND")</f>
        <v>27996</v>
      </c>
      <c r="V110">
        <f>IFERROR(RawSalesTable5[[#This Row],[Quantity]]*RawSalesTable5[[#This Row],[Unit_Cost]],"NOT FOUND")</f>
        <v>24500</v>
      </c>
      <c r="W110">
        <f>IFERROR(RawSalesTable5[[#This Row],[Net_Revenue]]-RawSalesTable5[[#This Row],[Cost]],"NOT FOUND")</f>
        <v>3496</v>
      </c>
      <c r="X110" s="27">
        <f>IF(RawSalesTable5[[#This Row],[Lookup_Status]]="Missing Product","",IFERROR(RawSalesTable5[[#This Row],[Profit]]/RawSalesTable5[[#This Row],[Net_Revenue]],0))</f>
        <v>0.12487498214030576</v>
      </c>
      <c r="Y110">
        <f>RawSalesTable5[[#This Row],[Ship_Date]]-RawSalesTable5[[#This Row],[Order_Date]]</f>
        <v>5</v>
      </c>
      <c r="Z110" s="28">
        <f>DATE(YEAR(RawSalesTable5[[#This Row],[Order_Date]]),MONTH(RawSalesTable5[[#This Row],[Order_Date]]),1)</f>
        <v>45992</v>
      </c>
      <c r="AA110" t="str" cm="1">
        <f t="array" ref="AA110">IF(RawSalesTable5[[#This Row],[Lookup_Status]]="Missing Product","",_xlfn.IFS(RawSalesTable5[[#This Row],[Net_Revenue]]&gt;=20000,"High",RawSalesTable5[[#This Row],[Net_Revenue]]&gt;=10000,"Medium",TRUE,"Low"))</f>
        <v>High</v>
      </c>
    </row>
    <row r="111" spans="1:27">
      <c r="A111" t="s">
        <v>243</v>
      </c>
      <c r="B111" s="15">
        <v>45922</v>
      </c>
      <c r="C111" s="15">
        <v>45925</v>
      </c>
      <c r="D111" t="s">
        <v>123</v>
      </c>
      <c r="E111" t="s">
        <v>92</v>
      </c>
      <c r="F111" t="s">
        <v>149</v>
      </c>
      <c r="G111" t="s">
        <v>94</v>
      </c>
      <c r="H111" t="s">
        <v>103</v>
      </c>
      <c r="I111" s="17">
        <v>5</v>
      </c>
      <c r="J111" s="16">
        <v>0</v>
      </c>
      <c r="K111" t="s">
        <v>119</v>
      </c>
      <c r="L111" t="s">
        <v>126</v>
      </c>
      <c r="M111" s="17">
        <v>3</v>
      </c>
      <c r="N111" t="str" cm="1">
        <f t="array" ref="N111">_xlfn.XLOOKUP(RawSalesTable5[[#This Row],[Product_Code]],ProductLookupTable[[#All],[Product_Code]],ProductLookupTable[[#All],[Product_Name]],"NOT FOUND")</f>
        <v>Portable HDD 2TB</v>
      </c>
      <c r="O111" t="str" cm="1">
        <f t="array" ref="O111">_xlfn.XLOOKUP(RawSalesTable5[[#This Row],[Product_Code]],ProductLookupTable[[#All],[Product_Code]],ProductLookupTable[[#All],[Category]],"NOT FOUND")</f>
        <v>Storage</v>
      </c>
      <c r="P111" cm="1">
        <f t="array" ref="P111">_xlfn.XLOOKUP(RawSalesTable5[[#This Row],[Product_Code]],ProductLookupTable[[#All],[Product_Code]],ProductLookupTable[[#All],[Unit_Price]],"NOT FOUND")</f>
        <v>5899</v>
      </c>
      <c r="Q111" t="str">
        <f>IF(COUNTIF(ProductLookupTable[Product_Code],RawSalesTable5[[#This Row],[Product_Code]])=0,"Missing Product","OK")</f>
        <v>OK</v>
      </c>
      <c r="R111" cm="1">
        <f t="array" ref="R111">_xlfn.XLOOKUP(RawSalesTable5[[#This Row],[Product_Code]],ProductLookupTable[[#All],[Product_Code]],ProductLookupTable[[#All],[Unit_Cost]],"NOT FOUND")</f>
        <v>4100</v>
      </c>
      <c r="S111">
        <f>IFERROR(RawSalesTable5[[#This Row],[Quantity]]*RawSalesTable5[[#This Row],[Unit_Price]],"NOT FOUND")</f>
        <v>29495</v>
      </c>
      <c r="T111">
        <f>IFERROR(RawSalesTable5[[#This Row],[Gross_Revenue]]*RawSalesTable5[[#This Row],[Discount_Pct]],"NOT FOUND")</f>
        <v>0</v>
      </c>
      <c r="U111">
        <f>IFERROR(RawSalesTable5[[#This Row],[Gross_Revenue]]-RawSalesTable5[[#This Row],[Discount_Value]],"NOT FOUND")</f>
        <v>29495</v>
      </c>
      <c r="V111">
        <f>IFERROR(RawSalesTable5[[#This Row],[Quantity]]*RawSalesTable5[[#This Row],[Unit_Cost]],"NOT FOUND")</f>
        <v>20500</v>
      </c>
      <c r="W111">
        <f>IFERROR(RawSalesTable5[[#This Row],[Net_Revenue]]-RawSalesTable5[[#This Row],[Cost]],"NOT FOUND")</f>
        <v>8995</v>
      </c>
      <c r="X111" s="27">
        <f>IF(RawSalesTable5[[#This Row],[Lookup_Status]]="Missing Product","",IFERROR(RawSalesTable5[[#This Row],[Profit]]/RawSalesTable5[[#This Row],[Net_Revenue]],0))</f>
        <v>0.30496694354975418</v>
      </c>
      <c r="Y111">
        <f>RawSalesTable5[[#This Row],[Ship_Date]]-RawSalesTable5[[#This Row],[Order_Date]]</f>
        <v>3</v>
      </c>
      <c r="Z111" s="28">
        <f>DATE(YEAR(RawSalesTable5[[#This Row],[Order_Date]]),MONTH(RawSalesTable5[[#This Row],[Order_Date]]),1)</f>
        <v>45901</v>
      </c>
      <c r="AA111" t="str" cm="1">
        <f t="array" ref="AA111">IF(RawSalesTable5[[#This Row],[Lookup_Status]]="Missing Product","",_xlfn.IFS(RawSalesTable5[[#This Row],[Net_Revenue]]&gt;=20000,"High",RawSalesTable5[[#This Row],[Net_Revenue]]&gt;=10000,"Medium",TRUE,"Low"))</f>
        <v>High</v>
      </c>
    </row>
    <row r="112" spans="1:27">
      <c r="A112" t="s">
        <v>244</v>
      </c>
      <c r="B112" s="15">
        <v>45744</v>
      </c>
      <c r="C112" s="15">
        <v>45748</v>
      </c>
      <c r="D112" t="s">
        <v>83</v>
      </c>
      <c r="E112" t="s">
        <v>98</v>
      </c>
      <c r="F112" t="s">
        <v>147</v>
      </c>
      <c r="G112" t="s">
        <v>86</v>
      </c>
      <c r="H112" t="s">
        <v>87</v>
      </c>
      <c r="I112" s="17">
        <v>5</v>
      </c>
      <c r="J112" s="16">
        <v>0.15</v>
      </c>
      <c r="K112" t="s">
        <v>95</v>
      </c>
      <c r="L112" t="s">
        <v>89</v>
      </c>
      <c r="M112" s="17">
        <v>4</v>
      </c>
      <c r="N112" t="str" cm="1">
        <f t="array" ref="N112">_xlfn.XLOOKUP(RawSalesTable5[[#This Row],[Product_Code]],ProductLookupTable[[#All],[Product_Code]],ProductLookupTable[[#All],[Product_Name]],"NOT FOUND")</f>
        <v>LED Desk Lamp</v>
      </c>
      <c r="O112" t="str" cm="1">
        <f t="array" ref="O112">_xlfn.XLOOKUP(RawSalesTable5[[#This Row],[Product_Code]],ProductLookupTable[[#All],[Product_Code]],ProductLookupTable[[#All],[Category]],"NOT FOUND")</f>
        <v>Furniture</v>
      </c>
      <c r="P112" cm="1">
        <f t="array" ref="P112">_xlfn.XLOOKUP(RawSalesTable5[[#This Row],[Product_Code]],ProductLookupTable[[#All],[Product_Code]],ProductLookupTable[[#All],[Unit_Price]],"NOT FOUND")</f>
        <v>1999</v>
      </c>
      <c r="Q112" t="str">
        <f>IF(COUNTIF(ProductLookupTable[Product_Code],RawSalesTable5[[#This Row],[Product_Code]])=0,"Missing Product","OK")</f>
        <v>OK</v>
      </c>
      <c r="R112" cm="1">
        <f t="array" ref="R112">_xlfn.XLOOKUP(RawSalesTable5[[#This Row],[Product_Code]],ProductLookupTable[[#All],[Product_Code]],ProductLookupTable[[#All],[Unit_Cost]],"NOT FOUND")</f>
        <v>1050</v>
      </c>
      <c r="S112">
        <f>IFERROR(RawSalesTable5[[#This Row],[Quantity]]*RawSalesTable5[[#This Row],[Unit_Price]],"NOT FOUND")</f>
        <v>9995</v>
      </c>
      <c r="T112">
        <f>IFERROR(RawSalesTable5[[#This Row],[Gross_Revenue]]*RawSalesTable5[[#This Row],[Discount_Pct]],"NOT FOUND")</f>
        <v>1499.25</v>
      </c>
      <c r="U112">
        <f>IFERROR(RawSalesTable5[[#This Row],[Gross_Revenue]]-RawSalesTable5[[#This Row],[Discount_Value]],"NOT FOUND")</f>
        <v>8495.75</v>
      </c>
      <c r="V112">
        <f>IFERROR(RawSalesTable5[[#This Row],[Quantity]]*RawSalesTable5[[#This Row],[Unit_Cost]],"NOT FOUND")</f>
        <v>5250</v>
      </c>
      <c r="W112">
        <f>IFERROR(RawSalesTable5[[#This Row],[Net_Revenue]]-RawSalesTable5[[#This Row],[Cost]],"NOT FOUND")</f>
        <v>3245.75</v>
      </c>
      <c r="X112" s="27">
        <f>IF(RawSalesTable5[[#This Row],[Lookup_Status]]="Missing Product","",IFERROR(RawSalesTable5[[#This Row],[Profit]]/RawSalesTable5[[#This Row],[Net_Revenue]],0))</f>
        <v>0.38204396315804962</v>
      </c>
      <c r="Y112">
        <f>RawSalesTable5[[#This Row],[Ship_Date]]-RawSalesTable5[[#This Row],[Order_Date]]</f>
        <v>4</v>
      </c>
      <c r="Z112" s="28">
        <f>DATE(YEAR(RawSalesTable5[[#This Row],[Order_Date]]),MONTH(RawSalesTable5[[#This Row],[Order_Date]]),1)</f>
        <v>45717</v>
      </c>
      <c r="AA112" t="str" cm="1">
        <f t="array" ref="AA112">IF(RawSalesTable5[[#This Row],[Lookup_Status]]="Missing Product","",_xlfn.IFS(RawSalesTable5[[#This Row],[Net_Revenue]]&gt;=20000,"High",RawSalesTable5[[#This Row],[Net_Revenue]]&gt;=10000,"Medium",TRUE,"Low"))</f>
        <v>Low</v>
      </c>
    </row>
    <row r="113" spans="1:27">
      <c r="A113" t="s">
        <v>245</v>
      </c>
      <c r="B113" s="15">
        <v>45977</v>
      </c>
      <c r="C113" s="15">
        <v>45979</v>
      </c>
      <c r="D113" t="s">
        <v>114</v>
      </c>
      <c r="E113" t="s">
        <v>101</v>
      </c>
      <c r="F113" t="s">
        <v>124</v>
      </c>
      <c r="G113" t="s">
        <v>94</v>
      </c>
      <c r="H113" t="s">
        <v>87</v>
      </c>
      <c r="I113" s="17">
        <v>2</v>
      </c>
      <c r="J113" s="16">
        <v>0.1</v>
      </c>
      <c r="K113" t="s">
        <v>119</v>
      </c>
      <c r="L113" t="s">
        <v>126</v>
      </c>
      <c r="M113" s="17">
        <v>3</v>
      </c>
      <c r="N113" t="str" cm="1">
        <f t="array" ref="N113">_xlfn.XLOOKUP(RawSalesTable5[[#This Row],[Product_Code]],ProductLookupTable[[#All],[Product_Code]],ProductLookupTable[[#All],[Product_Name]],"NOT FOUND")</f>
        <v>Wireless Mouse</v>
      </c>
      <c r="O113" t="str" cm="1">
        <f t="array" ref="O113">_xlfn.XLOOKUP(RawSalesTable5[[#This Row],[Product_Code]],ProductLookupTable[[#All],[Product_Code]],ProductLookupTable[[#All],[Category]],"NOT FOUND")</f>
        <v>Accessories</v>
      </c>
      <c r="P113" cm="1">
        <f t="array" ref="P113">_xlfn.XLOOKUP(RawSalesTable5[[#This Row],[Product_Code]],ProductLookupTable[[#All],[Product_Code]],ProductLookupTable[[#All],[Unit_Price]],"NOT FOUND")</f>
        <v>799</v>
      </c>
      <c r="Q113" t="str">
        <f>IF(COUNTIF(ProductLookupTable[Product_Code],RawSalesTable5[[#This Row],[Product_Code]])=0,"Missing Product","OK")</f>
        <v>OK</v>
      </c>
      <c r="R113" cm="1">
        <f t="array" ref="R113">_xlfn.XLOOKUP(RawSalesTable5[[#This Row],[Product_Code]],ProductLookupTable[[#All],[Product_Code]],ProductLookupTable[[#All],[Unit_Cost]],"NOT FOUND")</f>
        <v>420</v>
      </c>
      <c r="S113">
        <f>IFERROR(RawSalesTable5[[#This Row],[Quantity]]*RawSalesTable5[[#This Row],[Unit_Price]],"NOT FOUND")</f>
        <v>1598</v>
      </c>
      <c r="T113">
        <f>IFERROR(RawSalesTable5[[#This Row],[Gross_Revenue]]*RawSalesTable5[[#This Row],[Discount_Pct]],"NOT FOUND")</f>
        <v>159.80000000000001</v>
      </c>
      <c r="U113">
        <f>IFERROR(RawSalesTable5[[#This Row],[Gross_Revenue]]-RawSalesTable5[[#This Row],[Discount_Value]],"NOT FOUND")</f>
        <v>1438.2</v>
      </c>
      <c r="V113">
        <f>IFERROR(RawSalesTable5[[#This Row],[Quantity]]*RawSalesTable5[[#This Row],[Unit_Cost]],"NOT FOUND")</f>
        <v>840</v>
      </c>
      <c r="W113">
        <f>IFERROR(RawSalesTable5[[#This Row],[Net_Revenue]]-RawSalesTable5[[#This Row],[Cost]],"NOT FOUND")</f>
        <v>598.20000000000005</v>
      </c>
      <c r="X113" s="27">
        <f>IF(RawSalesTable5[[#This Row],[Lookup_Status]]="Missing Product","",IFERROR(RawSalesTable5[[#This Row],[Profit]]/RawSalesTable5[[#This Row],[Net_Revenue]],0))</f>
        <v>0.41593658740091782</v>
      </c>
      <c r="Y113">
        <f>RawSalesTable5[[#This Row],[Ship_Date]]-RawSalesTable5[[#This Row],[Order_Date]]</f>
        <v>2</v>
      </c>
      <c r="Z113" s="28">
        <f>DATE(YEAR(RawSalesTable5[[#This Row],[Order_Date]]),MONTH(RawSalesTable5[[#This Row],[Order_Date]]),1)</f>
        <v>45962</v>
      </c>
      <c r="AA113" t="str" cm="1">
        <f t="array" ref="AA113">IF(RawSalesTable5[[#This Row],[Lookup_Status]]="Missing Product","",_xlfn.IFS(RawSalesTable5[[#This Row],[Net_Revenue]]&gt;=20000,"High",RawSalesTable5[[#This Row],[Net_Revenue]]&gt;=10000,"Medium",TRUE,"Low"))</f>
        <v>Low</v>
      </c>
    </row>
    <row r="114" spans="1:27">
      <c r="A114" t="s">
        <v>246</v>
      </c>
      <c r="B114" s="15">
        <v>46020</v>
      </c>
      <c r="C114" s="15">
        <v>46023</v>
      </c>
      <c r="D114" t="s">
        <v>157</v>
      </c>
      <c r="E114" t="s">
        <v>106</v>
      </c>
      <c r="F114" t="s">
        <v>102</v>
      </c>
      <c r="G114" t="s">
        <v>94</v>
      </c>
      <c r="H114" t="s">
        <v>86</v>
      </c>
      <c r="I114" s="17">
        <v>1</v>
      </c>
      <c r="J114" s="16">
        <v>0.05</v>
      </c>
      <c r="K114" t="s">
        <v>88</v>
      </c>
      <c r="L114" t="s">
        <v>89</v>
      </c>
      <c r="M114" s="17">
        <v>3</v>
      </c>
      <c r="N114" t="str" cm="1">
        <f t="array" ref="N114">_xlfn.XLOOKUP(RawSalesTable5[[#This Row],[Product_Code]],ProductLookupTable[[#All],[Product_Code]],ProductLookupTable[[#All],[Product_Name]],"NOT FOUND")</f>
        <v>SSD 1TB</v>
      </c>
      <c r="O114" t="str" cm="1">
        <f t="array" ref="O114">_xlfn.XLOOKUP(RawSalesTable5[[#This Row],[Product_Code]],ProductLookupTable[[#All],[Product_Code]],ProductLookupTable[[#All],[Category]],"NOT FOUND")</f>
        <v>Storage</v>
      </c>
      <c r="P114" cm="1">
        <f t="array" ref="P114">_xlfn.XLOOKUP(RawSalesTable5[[#This Row],[Product_Code]],ProductLookupTable[[#All],[Product_Code]],ProductLookupTable[[#All],[Unit_Price]],"NOT FOUND")</f>
        <v>6999</v>
      </c>
      <c r="Q114" t="str">
        <f>IF(COUNTIF(ProductLookupTable[Product_Code],RawSalesTable5[[#This Row],[Product_Code]])=0,"Missing Product","OK")</f>
        <v>OK</v>
      </c>
      <c r="R114" cm="1">
        <f t="array" ref="R114">_xlfn.XLOOKUP(RawSalesTable5[[#This Row],[Product_Code]],ProductLookupTable[[#All],[Product_Code]],ProductLookupTable[[#All],[Unit_Cost]],"NOT FOUND")</f>
        <v>4900</v>
      </c>
      <c r="S114">
        <f>IFERROR(RawSalesTable5[[#This Row],[Quantity]]*RawSalesTable5[[#This Row],[Unit_Price]],"NOT FOUND")</f>
        <v>6999</v>
      </c>
      <c r="T114">
        <f>IFERROR(RawSalesTable5[[#This Row],[Gross_Revenue]]*RawSalesTable5[[#This Row],[Discount_Pct]],"NOT FOUND")</f>
        <v>349.95000000000005</v>
      </c>
      <c r="U114">
        <f>IFERROR(RawSalesTable5[[#This Row],[Gross_Revenue]]-RawSalesTable5[[#This Row],[Discount_Value]],"NOT FOUND")</f>
        <v>6649.05</v>
      </c>
      <c r="V114">
        <f>IFERROR(RawSalesTable5[[#This Row],[Quantity]]*RawSalesTable5[[#This Row],[Unit_Cost]],"NOT FOUND")</f>
        <v>4900</v>
      </c>
      <c r="W114">
        <f>IFERROR(RawSalesTable5[[#This Row],[Net_Revenue]]-RawSalesTable5[[#This Row],[Cost]],"NOT FOUND")</f>
        <v>1749.0500000000002</v>
      </c>
      <c r="X114" s="27">
        <f>IF(RawSalesTable5[[#This Row],[Lookup_Status]]="Missing Product","",IFERROR(RawSalesTable5[[#This Row],[Profit]]/RawSalesTable5[[#This Row],[Net_Revenue]],0))</f>
        <v>0.26305261653920486</v>
      </c>
      <c r="Y114">
        <f>RawSalesTable5[[#This Row],[Ship_Date]]-RawSalesTable5[[#This Row],[Order_Date]]</f>
        <v>3</v>
      </c>
      <c r="Z114" s="28">
        <f>DATE(YEAR(RawSalesTable5[[#This Row],[Order_Date]]),MONTH(RawSalesTable5[[#This Row],[Order_Date]]),1)</f>
        <v>45992</v>
      </c>
      <c r="AA114" t="str" cm="1">
        <f t="array" ref="AA114">IF(RawSalesTable5[[#This Row],[Lookup_Status]]="Missing Product","",_xlfn.IFS(RawSalesTable5[[#This Row],[Net_Revenue]]&gt;=20000,"High",RawSalesTable5[[#This Row],[Net_Revenue]]&gt;=10000,"Medium",TRUE,"Low"))</f>
        <v>Low</v>
      </c>
    </row>
    <row r="115" spans="1:27">
      <c r="A115" t="s">
        <v>247</v>
      </c>
      <c r="B115" s="15">
        <v>45899</v>
      </c>
      <c r="C115" s="15">
        <v>45904</v>
      </c>
      <c r="D115" t="s">
        <v>212</v>
      </c>
      <c r="E115" t="s">
        <v>111</v>
      </c>
      <c r="F115" t="s">
        <v>107</v>
      </c>
      <c r="G115" t="s">
        <v>108</v>
      </c>
      <c r="H115" t="s">
        <v>86</v>
      </c>
      <c r="I115" s="17">
        <v>5</v>
      </c>
      <c r="J115" s="16">
        <v>0.1</v>
      </c>
      <c r="K115" t="s">
        <v>88</v>
      </c>
      <c r="L115" t="s">
        <v>89</v>
      </c>
      <c r="M115" s="17">
        <v>3</v>
      </c>
      <c r="N115" t="str" cm="1">
        <f t="array" ref="N115">_xlfn.XLOOKUP(RawSalesTable5[[#This Row],[Product_Code]],ProductLookupTable[[#All],[Product_Code]],ProductLookupTable[[#All],[Product_Name]],"NOT FOUND")</f>
        <v>Bluetooth Speaker</v>
      </c>
      <c r="O115" t="str" cm="1">
        <f t="array" ref="O115">_xlfn.XLOOKUP(RawSalesTable5[[#This Row],[Product_Code]],ProductLookupTable[[#All],[Product_Code]],ProductLookupTable[[#All],[Category]],"NOT FOUND")</f>
        <v>Audio</v>
      </c>
      <c r="P115" cm="1">
        <f t="array" ref="P115">_xlfn.XLOOKUP(RawSalesTable5[[#This Row],[Product_Code]],ProductLookupTable[[#All],[Product_Code]],ProductLookupTable[[#All],[Unit_Price]],"NOT FOUND")</f>
        <v>2799</v>
      </c>
      <c r="Q115" t="str">
        <f>IF(COUNTIF(ProductLookupTable[Product_Code],RawSalesTable5[[#This Row],[Product_Code]])=0,"Missing Product","OK")</f>
        <v>OK</v>
      </c>
      <c r="R115" cm="1">
        <f t="array" ref="R115">_xlfn.XLOOKUP(RawSalesTable5[[#This Row],[Product_Code]],ProductLookupTable[[#All],[Product_Code]],ProductLookupTable[[#All],[Unit_Cost]],"NOT FOUND")</f>
        <v>1650</v>
      </c>
      <c r="S115">
        <f>IFERROR(RawSalesTable5[[#This Row],[Quantity]]*RawSalesTable5[[#This Row],[Unit_Price]],"NOT FOUND")</f>
        <v>13995</v>
      </c>
      <c r="T115">
        <f>IFERROR(RawSalesTable5[[#This Row],[Gross_Revenue]]*RawSalesTable5[[#This Row],[Discount_Pct]],"NOT FOUND")</f>
        <v>1399.5</v>
      </c>
      <c r="U115">
        <f>IFERROR(RawSalesTable5[[#This Row],[Gross_Revenue]]-RawSalesTable5[[#This Row],[Discount_Value]],"NOT FOUND")</f>
        <v>12595.5</v>
      </c>
      <c r="V115">
        <f>IFERROR(RawSalesTable5[[#This Row],[Quantity]]*RawSalesTable5[[#This Row],[Unit_Cost]],"NOT FOUND")</f>
        <v>8250</v>
      </c>
      <c r="W115">
        <f>IFERROR(RawSalesTable5[[#This Row],[Net_Revenue]]-RawSalesTable5[[#This Row],[Cost]],"NOT FOUND")</f>
        <v>4345.5</v>
      </c>
      <c r="X115" s="27">
        <f>IF(RawSalesTable5[[#This Row],[Lookup_Status]]="Missing Product","",IFERROR(RawSalesTable5[[#This Row],[Profit]]/RawSalesTable5[[#This Row],[Net_Revenue]],0))</f>
        <v>0.34500416815529356</v>
      </c>
      <c r="Y115">
        <f>RawSalesTable5[[#This Row],[Ship_Date]]-RawSalesTable5[[#This Row],[Order_Date]]</f>
        <v>5</v>
      </c>
      <c r="Z115" s="28">
        <f>DATE(YEAR(RawSalesTable5[[#This Row],[Order_Date]]),MONTH(RawSalesTable5[[#This Row],[Order_Date]]),1)</f>
        <v>45870</v>
      </c>
      <c r="AA115" t="str" cm="1">
        <f t="array" ref="AA115">IF(RawSalesTable5[[#This Row],[Lookup_Status]]="Missing Product","",_xlfn.IFS(RawSalesTable5[[#This Row],[Net_Revenue]]&gt;=20000,"High",RawSalesTable5[[#This Row],[Net_Revenue]]&gt;=10000,"Medium",TRUE,"Low"))</f>
        <v>Medium</v>
      </c>
    </row>
    <row r="116" spans="1:27">
      <c r="A116" t="s">
        <v>248</v>
      </c>
      <c r="B116" s="15">
        <v>45747</v>
      </c>
      <c r="C116" s="15">
        <v>45753</v>
      </c>
      <c r="D116" t="s">
        <v>123</v>
      </c>
      <c r="E116" t="s">
        <v>84</v>
      </c>
      <c r="F116" t="s">
        <v>118</v>
      </c>
      <c r="G116" t="s">
        <v>125</v>
      </c>
      <c r="H116" t="s">
        <v>86</v>
      </c>
      <c r="I116" s="17">
        <v>2</v>
      </c>
      <c r="J116" s="16">
        <v>0.05</v>
      </c>
      <c r="K116" t="s">
        <v>140</v>
      </c>
      <c r="L116" t="s">
        <v>89</v>
      </c>
      <c r="M116" s="17">
        <v>3</v>
      </c>
      <c r="N116" t="str" cm="1">
        <f t="array" ref="N116">_xlfn.XLOOKUP(RawSalesTable5[[#This Row],[Product_Code]],ProductLookupTable[[#All],[Product_Code]],ProductLookupTable[[#All],[Product_Name]],"NOT FOUND")</f>
        <v>Mechanical Keyboard</v>
      </c>
      <c r="O116" t="str" cm="1">
        <f t="array" ref="O116">_xlfn.XLOOKUP(RawSalesTable5[[#This Row],[Product_Code]],ProductLookupTable[[#All],[Product_Code]],ProductLookupTable[[#All],[Category]],"NOT FOUND")</f>
        <v>Accessories</v>
      </c>
      <c r="P116" cm="1">
        <f t="array" ref="P116">_xlfn.XLOOKUP(RawSalesTable5[[#This Row],[Product_Code]],ProductLookupTable[[#All],[Product_Code]],ProductLookupTable[[#All],[Unit_Price]],"NOT FOUND")</f>
        <v>2499</v>
      </c>
      <c r="Q116" t="str">
        <f>IF(COUNTIF(ProductLookupTable[Product_Code],RawSalesTable5[[#This Row],[Product_Code]])=0,"Missing Product","OK")</f>
        <v>OK</v>
      </c>
      <c r="R116" cm="1">
        <f t="array" ref="R116">_xlfn.XLOOKUP(RawSalesTable5[[#This Row],[Product_Code]],ProductLookupTable[[#All],[Product_Code]],ProductLookupTable[[#All],[Unit_Cost]],"NOT FOUND")</f>
        <v>1450</v>
      </c>
      <c r="S116">
        <f>IFERROR(RawSalesTable5[[#This Row],[Quantity]]*RawSalesTable5[[#This Row],[Unit_Price]],"NOT FOUND")</f>
        <v>4998</v>
      </c>
      <c r="T116">
        <f>IFERROR(RawSalesTable5[[#This Row],[Gross_Revenue]]*RawSalesTable5[[#This Row],[Discount_Pct]],"NOT FOUND")</f>
        <v>249.9</v>
      </c>
      <c r="U116">
        <f>IFERROR(RawSalesTable5[[#This Row],[Gross_Revenue]]-RawSalesTable5[[#This Row],[Discount_Value]],"NOT FOUND")</f>
        <v>4748.1000000000004</v>
      </c>
      <c r="V116">
        <f>IFERROR(RawSalesTable5[[#This Row],[Quantity]]*RawSalesTable5[[#This Row],[Unit_Cost]],"NOT FOUND")</f>
        <v>2900</v>
      </c>
      <c r="W116">
        <f>IFERROR(RawSalesTable5[[#This Row],[Net_Revenue]]-RawSalesTable5[[#This Row],[Cost]],"NOT FOUND")</f>
        <v>1848.1000000000004</v>
      </c>
      <c r="X116" s="27">
        <f>IF(RawSalesTable5[[#This Row],[Lookup_Status]]="Missing Product","",IFERROR(RawSalesTable5[[#This Row],[Profit]]/RawSalesTable5[[#This Row],[Net_Revenue]],0))</f>
        <v>0.38922937596091073</v>
      </c>
      <c r="Y116">
        <f>RawSalesTable5[[#This Row],[Ship_Date]]-RawSalesTable5[[#This Row],[Order_Date]]</f>
        <v>6</v>
      </c>
      <c r="Z116" s="28">
        <f>DATE(YEAR(RawSalesTable5[[#This Row],[Order_Date]]),MONTH(RawSalesTable5[[#This Row],[Order_Date]]),1)</f>
        <v>45717</v>
      </c>
      <c r="AA116" t="str" cm="1">
        <f t="array" ref="AA116">IF(RawSalesTable5[[#This Row],[Lookup_Status]]="Missing Product","",_xlfn.IFS(RawSalesTable5[[#This Row],[Net_Revenue]]&gt;=20000,"High",RawSalesTable5[[#This Row],[Net_Revenue]]&gt;=10000,"Medium",TRUE,"Low"))</f>
        <v>Low</v>
      </c>
    </row>
    <row r="117" spans="1:27">
      <c r="A117" t="s">
        <v>249</v>
      </c>
      <c r="B117" s="15">
        <v>45744</v>
      </c>
      <c r="C117" s="15">
        <v>45749</v>
      </c>
      <c r="D117" t="s">
        <v>83</v>
      </c>
      <c r="E117" t="s">
        <v>92</v>
      </c>
      <c r="F117" t="s">
        <v>121</v>
      </c>
      <c r="G117" t="s">
        <v>108</v>
      </c>
      <c r="H117" t="s">
        <v>87</v>
      </c>
      <c r="I117" s="17">
        <v>1</v>
      </c>
      <c r="J117" s="16">
        <v>0.15</v>
      </c>
      <c r="K117" t="s">
        <v>119</v>
      </c>
      <c r="L117" t="s">
        <v>89</v>
      </c>
      <c r="M117" s="17">
        <v>5</v>
      </c>
      <c r="N117" t="str" cm="1">
        <f t="array" ref="N117">_xlfn.XLOOKUP(RawSalesTable5[[#This Row],[Product_Code]],ProductLookupTable[[#All],[Product_Code]],ProductLookupTable[[#All],[Product_Name]],"NOT FOUND")</f>
        <v>HD Webcam</v>
      </c>
      <c r="O117" t="str" cm="1">
        <f t="array" ref="O117">_xlfn.XLOOKUP(RawSalesTable5[[#This Row],[Product_Code]],ProductLookupTable[[#All],[Product_Code]],ProductLookupTable[[#All],[Category]],"NOT FOUND")</f>
        <v>Accessories</v>
      </c>
      <c r="P117" cm="1">
        <f t="array" ref="P117">_xlfn.XLOOKUP(RawSalesTable5[[#This Row],[Product_Code]],ProductLookupTable[[#All],[Product_Code]],ProductLookupTable[[#All],[Unit_Price]],"NOT FOUND")</f>
        <v>2899</v>
      </c>
      <c r="Q117" t="str">
        <f>IF(COUNTIF(ProductLookupTable[Product_Code],RawSalesTable5[[#This Row],[Product_Code]])=0,"Missing Product","OK")</f>
        <v>OK</v>
      </c>
      <c r="R117" cm="1">
        <f t="array" ref="R117">_xlfn.XLOOKUP(RawSalesTable5[[#This Row],[Product_Code]],ProductLookupTable[[#All],[Product_Code]],ProductLookupTable[[#All],[Unit_Cost]],"NOT FOUND")</f>
        <v>1700</v>
      </c>
      <c r="S117">
        <f>IFERROR(RawSalesTable5[[#This Row],[Quantity]]*RawSalesTable5[[#This Row],[Unit_Price]],"NOT FOUND")</f>
        <v>2899</v>
      </c>
      <c r="T117">
        <f>IFERROR(RawSalesTable5[[#This Row],[Gross_Revenue]]*RawSalesTable5[[#This Row],[Discount_Pct]],"NOT FOUND")</f>
        <v>434.84999999999997</v>
      </c>
      <c r="U117">
        <f>IFERROR(RawSalesTable5[[#This Row],[Gross_Revenue]]-RawSalesTable5[[#This Row],[Discount_Value]],"NOT FOUND")</f>
        <v>2464.15</v>
      </c>
      <c r="V117">
        <f>IFERROR(RawSalesTable5[[#This Row],[Quantity]]*RawSalesTable5[[#This Row],[Unit_Cost]],"NOT FOUND")</f>
        <v>1700</v>
      </c>
      <c r="W117">
        <f>IFERROR(RawSalesTable5[[#This Row],[Net_Revenue]]-RawSalesTable5[[#This Row],[Cost]],"NOT FOUND")</f>
        <v>764.15000000000009</v>
      </c>
      <c r="X117" s="27">
        <f>IF(RawSalesTable5[[#This Row],[Lookup_Status]]="Missing Product","",IFERROR(RawSalesTable5[[#This Row],[Profit]]/RawSalesTable5[[#This Row],[Net_Revenue]],0))</f>
        <v>0.31010693342531909</v>
      </c>
      <c r="Y117">
        <f>RawSalesTable5[[#This Row],[Ship_Date]]-RawSalesTable5[[#This Row],[Order_Date]]</f>
        <v>5</v>
      </c>
      <c r="Z117" s="28">
        <f>DATE(YEAR(RawSalesTable5[[#This Row],[Order_Date]]),MONTH(RawSalesTable5[[#This Row],[Order_Date]]),1)</f>
        <v>45717</v>
      </c>
      <c r="AA117" t="str" cm="1">
        <f t="array" ref="AA117">IF(RawSalesTable5[[#This Row],[Lookup_Status]]="Missing Product","",_xlfn.IFS(RawSalesTable5[[#This Row],[Net_Revenue]]&gt;=20000,"High",RawSalesTable5[[#This Row],[Net_Revenue]]&gt;=10000,"Medium",TRUE,"Low"))</f>
        <v>Low</v>
      </c>
    </row>
    <row r="118" spans="1:27">
      <c r="A118" t="s">
        <v>250</v>
      </c>
      <c r="B118" s="15">
        <v>45747</v>
      </c>
      <c r="C118" s="15">
        <v>45750</v>
      </c>
      <c r="D118" t="s">
        <v>114</v>
      </c>
      <c r="E118" t="s">
        <v>98</v>
      </c>
      <c r="F118" t="s">
        <v>85</v>
      </c>
      <c r="G118" t="s">
        <v>94</v>
      </c>
      <c r="H118" t="s">
        <v>86</v>
      </c>
      <c r="I118" s="17">
        <v>1</v>
      </c>
      <c r="J118" s="16">
        <v>0</v>
      </c>
      <c r="K118" t="s">
        <v>88</v>
      </c>
      <c r="L118" t="s">
        <v>89</v>
      </c>
      <c r="M118" s="17">
        <v>5</v>
      </c>
      <c r="N118" t="str" cm="1">
        <f t="array" ref="N118">_xlfn.XLOOKUP(RawSalesTable5[[#This Row],[Product_Code]],ProductLookupTable[[#All],[Product_Code]],ProductLookupTable[[#All],[Product_Name]],"NOT FOUND")</f>
        <v>Ergonomic Chair</v>
      </c>
      <c r="O118" t="str" cm="1">
        <f t="array" ref="O118">_xlfn.XLOOKUP(RawSalesTable5[[#This Row],[Product_Code]],ProductLookupTable[[#All],[Product_Code]],ProductLookupTable[[#All],[Category]],"NOT FOUND")</f>
        <v>Furniture</v>
      </c>
      <c r="P118" cm="1">
        <f t="array" ref="P118">_xlfn.XLOOKUP(RawSalesTable5[[#This Row],[Product_Code]],ProductLookupTable[[#All],[Product_Code]],ProductLookupTable[[#All],[Unit_Price]],"NOT FOUND")</f>
        <v>10499</v>
      </c>
      <c r="Q118" t="str">
        <f>IF(COUNTIF(ProductLookupTable[Product_Code],RawSalesTable5[[#This Row],[Product_Code]])=0,"Missing Product","OK")</f>
        <v>OK</v>
      </c>
      <c r="R118" cm="1">
        <f t="array" ref="R118">_xlfn.XLOOKUP(RawSalesTable5[[#This Row],[Product_Code]],ProductLookupTable[[#All],[Product_Code]],ProductLookupTable[[#All],[Unit_Cost]],"NOT FOUND")</f>
        <v>7600</v>
      </c>
      <c r="S118">
        <f>IFERROR(RawSalesTable5[[#This Row],[Quantity]]*RawSalesTable5[[#This Row],[Unit_Price]],"NOT FOUND")</f>
        <v>10499</v>
      </c>
      <c r="T118">
        <f>IFERROR(RawSalesTable5[[#This Row],[Gross_Revenue]]*RawSalesTable5[[#This Row],[Discount_Pct]],"NOT FOUND")</f>
        <v>0</v>
      </c>
      <c r="U118">
        <f>IFERROR(RawSalesTable5[[#This Row],[Gross_Revenue]]-RawSalesTable5[[#This Row],[Discount_Value]],"NOT FOUND")</f>
        <v>10499</v>
      </c>
      <c r="V118">
        <f>IFERROR(RawSalesTable5[[#This Row],[Quantity]]*RawSalesTable5[[#This Row],[Unit_Cost]],"NOT FOUND")</f>
        <v>7600</v>
      </c>
      <c r="W118">
        <f>IFERROR(RawSalesTable5[[#This Row],[Net_Revenue]]-RawSalesTable5[[#This Row],[Cost]],"NOT FOUND")</f>
        <v>2899</v>
      </c>
      <c r="X118" s="27">
        <f>IF(RawSalesTable5[[#This Row],[Lookup_Status]]="Missing Product","",IFERROR(RawSalesTable5[[#This Row],[Profit]]/RawSalesTable5[[#This Row],[Net_Revenue]],0))</f>
        <v>0.27612153538432233</v>
      </c>
      <c r="Y118">
        <f>RawSalesTable5[[#This Row],[Ship_Date]]-RawSalesTable5[[#This Row],[Order_Date]]</f>
        <v>3</v>
      </c>
      <c r="Z118" s="28">
        <f>DATE(YEAR(RawSalesTable5[[#This Row],[Order_Date]]),MONTH(RawSalesTable5[[#This Row],[Order_Date]]),1)</f>
        <v>45717</v>
      </c>
      <c r="AA118" t="str" cm="1">
        <f t="array" ref="AA118">IF(RawSalesTable5[[#This Row],[Lookup_Status]]="Missing Product","",_xlfn.IFS(RawSalesTable5[[#This Row],[Net_Revenue]]&gt;=20000,"High",RawSalesTable5[[#This Row],[Net_Revenue]]&gt;=10000,"Medium",TRUE,"Low"))</f>
        <v>Medium</v>
      </c>
    </row>
    <row r="119" spans="1:27">
      <c r="A119" t="s">
        <v>251</v>
      </c>
      <c r="B119" s="15">
        <v>45991</v>
      </c>
      <c r="C119" s="15">
        <v>45992</v>
      </c>
      <c r="D119" t="s">
        <v>157</v>
      </c>
      <c r="E119" t="s">
        <v>101</v>
      </c>
      <c r="F119" t="s">
        <v>118</v>
      </c>
      <c r="G119" t="s">
        <v>86</v>
      </c>
      <c r="H119" t="s">
        <v>103</v>
      </c>
      <c r="I119" s="17">
        <v>1</v>
      </c>
      <c r="J119" s="16">
        <v>0</v>
      </c>
      <c r="K119" t="s">
        <v>88</v>
      </c>
      <c r="L119" t="s">
        <v>89</v>
      </c>
      <c r="M119" s="17">
        <v>4</v>
      </c>
      <c r="N119" t="str" cm="1">
        <f t="array" ref="N119">_xlfn.XLOOKUP(RawSalesTable5[[#This Row],[Product_Code]],ProductLookupTable[[#All],[Product_Code]],ProductLookupTable[[#All],[Product_Name]],"NOT FOUND")</f>
        <v>Mechanical Keyboard</v>
      </c>
      <c r="O119" t="str" cm="1">
        <f t="array" ref="O119">_xlfn.XLOOKUP(RawSalesTable5[[#This Row],[Product_Code]],ProductLookupTable[[#All],[Product_Code]],ProductLookupTable[[#All],[Category]],"NOT FOUND")</f>
        <v>Accessories</v>
      </c>
      <c r="P119" cm="1">
        <f t="array" ref="P119">_xlfn.XLOOKUP(RawSalesTable5[[#This Row],[Product_Code]],ProductLookupTable[[#All],[Product_Code]],ProductLookupTable[[#All],[Unit_Price]],"NOT FOUND")</f>
        <v>2499</v>
      </c>
      <c r="Q119" t="str">
        <f>IF(COUNTIF(ProductLookupTable[Product_Code],RawSalesTable5[[#This Row],[Product_Code]])=0,"Missing Product","OK")</f>
        <v>OK</v>
      </c>
      <c r="R119" cm="1">
        <f t="array" ref="R119">_xlfn.XLOOKUP(RawSalesTable5[[#This Row],[Product_Code]],ProductLookupTable[[#All],[Product_Code]],ProductLookupTable[[#All],[Unit_Cost]],"NOT FOUND")</f>
        <v>1450</v>
      </c>
      <c r="S119">
        <f>IFERROR(RawSalesTable5[[#This Row],[Quantity]]*RawSalesTable5[[#This Row],[Unit_Price]],"NOT FOUND")</f>
        <v>2499</v>
      </c>
      <c r="T119">
        <f>IFERROR(RawSalesTable5[[#This Row],[Gross_Revenue]]*RawSalesTable5[[#This Row],[Discount_Pct]],"NOT FOUND")</f>
        <v>0</v>
      </c>
      <c r="U119">
        <f>IFERROR(RawSalesTable5[[#This Row],[Gross_Revenue]]-RawSalesTable5[[#This Row],[Discount_Value]],"NOT FOUND")</f>
        <v>2499</v>
      </c>
      <c r="V119">
        <f>IFERROR(RawSalesTable5[[#This Row],[Quantity]]*RawSalesTable5[[#This Row],[Unit_Cost]],"NOT FOUND")</f>
        <v>1450</v>
      </c>
      <c r="W119">
        <f>IFERROR(RawSalesTable5[[#This Row],[Net_Revenue]]-RawSalesTable5[[#This Row],[Cost]],"NOT FOUND")</f>
        <v>1049</v>
      </c>
      <c r="X119" s="27">
        <f>IF(RawSalesTable5[[#This Row],[Lookup_Status]]="Missing Product","",IFERROR(RawSalesTable5[[#This Row],[Profit]]/RawSalesTable5[[#This Row],[Net_Revenue]],0))</f>
        <v>0.41976790716286516</v>
      </c>
      <c r="Y119">
        <f>RawSalesTable5[[#This Row],[Ship_Date]]-RawSalesTable5[[#This Row],[Order_Date]]</f>
        <v>1</v>
      </c>
      <c r="Z119" s="28">
        <f>DATE(YEAR(RawSalesTable5[[#This Row],[Order_Date]]),MONTH(RawSalesTable5[[#This Row],[Order_Date]]),1)</f>
        <v>45962</v>
      </c>
      <c r="AA119" t="str" cm="1">
        <f t="array" ref="AA119">IF(RawSalesTable5[[#This Row],[Lookup_Status]]="Missing Product","",_xlfn.IFS(RawSalesTable5[[#This Row],[Net_Revenue]]&gt;=20000,"High",RawSalesTable5[[#This Row],[Net_Revenue]]&gt;=10000,"Medium",TRUE,"Low"))</f>
        <v>Low</v>
      </c>
    </row>
    <row r="120" spans="1:27">
      <c r="A120" t="s">
        <v>252</v>
      </c>
      <c r="B120" s="15">
        <v>45948</v>
      </c>
      <c r="C120" s="15">
        <v>45949</v>
      </c>
      <c r="D120" t="s">
        <v>212</v>
      </c>
      <c r="E120" t="s">
        <v>106</v>
      </c>
      <c r="F120" t="s">
        <v>115</v>
      </c>
      <c r="G120" t="s">
        <v>125</v>
      </c>
      <c r="H120" t="s">
        <v>103</v>
      </c>
      <c r="I120" s="17">
        <v>2</v>
      </c>
      <c r="J120" s="16">
        <v>0</v>
      </c>
      <c r="K120" t="s">
        <v>95</v>
      </c>
      <c r="L120" t="s">
        <v>89</v>
      </c>
      <c r="M120" s="17">
        <v>3</v>
      </c>
      <c r="N120" t="str" cm="1">
        <f t="array" ref="N120">_xlfn.XLOOKUP(RawSalesTable5[[#This Row],[Product_Code]],ProductLookupTable[[#All],[Product_Code]],ProductLookupTable[[#All],[Product_Name]],"NOT FOUND")</f>
        <v>USB-C Hub</v>
      </c>
      <c r="O120" t="str" cm="1">
        <f t="array" ref="O120">_xlfn.XLOOKUP(RawSalesTable5[[#This Row],[Product_Code]],ProductLookupTable[[#All],[Product_Code]],ProductLookupTable[[#All],[Category]],"NOT FOUND")</f>
        <v>Accessories</v>
      </c>
      <c r="P120" cm="1">
        <f t="array" ref="P120">_xlfn.XLOOKUP(RawSalesTable5[[#This Row],[Product_Code]],ProductLookupTable[[#All],[Product_Code]],ProductLookupTable[[#All],[Unit_Price]],"NOT FOUND")</f>
        <v>1599</v>
      </c>
      <c r="Q120" t="str">
        <f>IF(COUNTIF(ProductLookupTable[Product_Code],RawSalesTable5[[#This Row],[Product_Code]])=0,"Missing Product","OK")</f>
        <v>OK</v>
      </c>
      <c r="R120" cm="1">
        <f t="array" ref="R120">_xlfn.XLOOKUP(RawSalesTable5[[#This Row],[Product_Code]],ProductLookupTable[[#All],[Product_Code]],ProductLookupTable[[#All],[Unit_Cost]],"NOT FOUND")</f>
        <v>870</v>
      </c>
      <c r="S120">
        <f>IFERROR(RawSalesTable5[[#This Row],[Quantity]]*RawSalesTable5[[#This Row],[Unit_Price]],"NOT FOUND")</f>
        <v>3198</v>
      </c>
      <c r="T120">
        <f>IFERROR(RawSalesTable5[[#This Row],[Gross_Revenue]]*RawSalesTable5[[#This Row],[Discount_Pct]],"NOT FOUND")</f>
        <v>0</v>
      </c>
      <c r="U120">
        <f>IFERROR(RawSalesTable5[[#This Row],[Gross_Revenue]]-RawSalesTable5[[#This Row],[Discount_Value]],"NOT FOUND")</f>
        <v>3198</v>
      </c>
      <c r="V120">
        <f>IFERROR(RawSalesTable5[[#This Row],[Quantity]]*RawSalesTable5[[#This Row],[Unit_Cost]],"NOT FOUND")</f>
        <v>1740</v>
      </c>
      <c r="W120">
        <f>IFERROR(RawSalesTable5[[#This Row],[Net_Revenue]]-RawSalesTable5[[#This Row],[Cost]],"NOT FOUND")</f>
        <v>1458</v>
      </c>
      <c r="X120" s="27">
        <f>IF(RawSalesTable5[[#This Row],[Lookup_Status]]="Missing Product","",IFERROR(RawSalesTable5[[#This Row],[Profit]]/RawSalesTable5[[#This Row],[Net_Revenue]],0))</f>
        <v>0.45590994371482174</v>
      </c>
      <c r="Y120">
        <f>RawSalesTable5[[#This Row],[Ship_Date]]-RawSalesTable5[[#This Row],[Order_Date]]</f>
        <v>1</v>
      </c>
      <c r="Z120" s="28">
        <f>DATE(YEAR(RawSalesTable5[[#This Row],[Order_Date]]),MONTH(RawSalesTable5[[#This Row],[Order_Date]]),1)</f>
        <v>45931</v>
      </c>
      <c r="AA120" t="str" cm="1">
        <f t="array" ref="AA120">IF(RawSalesTable5[[#This Row],[Lookup_Status]]="Missing Product","",_xlfn.IFS(RawSalesTable5[[#This Row],[Net_Revenue]]&gt;=20000,"High",RawSalesTable5[[#This Row],[Net_Revenue]]&gt;=10000,"Medium",TRUE,"Low"))</f>
        <v>Low</v>
      </c>
    </row>
    <row r="121" spans="1:27">
      <c r="A121" t="s">
        <v>253</v>
      </c>
      <c r="B121" s="15">
        <v>45820</v>
      </c>
      <c r="C121" s="15">
        <v>45828</v>
      </c>
      <c r="D121" t="s">
        <v>123</v>
      </c>
      <c r="E121" t="s">
        <v>111</v>
      </c>
      <c r="F121" t="s">
        <v>147</v>
      </c>
      <c r="G121" t="s">
        <v>108</v>
      </c>
      <c r="H121" t="s">
        <v>86</v>
      </c>
      <c r="I121" s="17">
        <v>2</v>
      </c>
      <c r="J121" s="16">
        <v>0</v>
      </c>
      <c r="K121" t="s">
        <v>119</v>
      </c>
      <c r="L121" t="s">
        <v>89</v>
      </c>
      <c r="M121" s="17">
        <v>5</v>
      </c>
      <c r="N121" t="str" cm="1">
        <f t="array" ref="N121">_xlfn.XLOOKUP(RawSalesTable5[[#This Row],[Product_Code]],ProductLookupTable[[#All],[Product_Code]],ProductLookupTable[[#All],[Product_Name]],"NOT FOUND")</f>
        <v>LED Desk Lamp</v>
      </c>
      <c r="O121" t="str" cm="1">
        <f t="array" ref="O121">_xlfn.XLOOKUP(RawSalesTable5[[#This Row],[Product_Code]],ProductLookupTable[[#All],[Product_Code]],ProductLookupTable[[#All],[Category]],"NOT FOUND")</f>
        <v>Furniture</v>
      </c>
      <c r="P121" cm="1">
        <f t="array" ref="P121">_xlfn.XLOOKUP(RawSalesTable5[[#This Row],[Product_Code]],ProductLookupTable[[#All],[Product_Code]],ProductLookupTable[[#All],[Unit_Price]],"NOT FOUND")</f>
        <v>1999</v>
      </c>
      <c r="Q121" t="str">
        <f>IF(COUNTIF(ProductLookupTable[Product_Code],RawSalesTable5[[#This Row],[Product_Code]])=0,"Missing Product","OK")</f>
        <v>OK</v>
      </c>
      <c r="R121" cm="1">
        <f t="array" ref="R121">_xlfn.XLOOKUP(RawSalesTable5[[#This Row],[Product_Code]],ProductLookupTable[[#All],[Product_Code]],ProductLookupTable[[#All],[Unit_Cost]],"NOT FOUND")</f>
        <v>1050</v>
      </c>
      <c r="S121">
        <f>IFERROR(RawSalesTable5[[#This Row],[Quantity]]*RawSalesTable5[[#This Row],[Unit_Price]],"NOT FOUND")</f>
        <v>3998</v>
      </c>
      <c r="T121">
        <f>IFERROR(RawSalesTable5[[#This Row],[Gross_Revenue]]*RawSalesTable5[[#This Row],[Discount_Pct]],"NOT FOUND")</f>
        <v>0</v>
      </c>
      <c r="U121">
        <f>IFERROR(RawSalesTable5[[#This Row],[Gross_Revenue]]-RawSalesTable5[[#This Row],[Discount_Value]],"NOT FOUND")</f>
        <v>3998</v>
      </c>
      <c r="V121">
        <f>IFERROR(RawSalesTable5[[#This Row],[Quantity]]*RawSalesTable5[[#This Row],[Unit_Cost]],"NOT FOUND")</f>
        <v>2100</v>
      </c>
      <c r="W121">
        <f>IFERROR(RawSalesTable5[[#This Row],[Net_Revenue]]-RawSalesTable5[[#This Row],[Cost]],"NOT FOUND")</f>
        <v>1898</v>
      </c>
      <c r="X121" s="27">
        <f>IF(RawSalesTable5[[#This Row],[Lookup_Status]]="Missing Product","",IFERROR(RawSalesTable5[[#This Row],[Profit]]/RawSalesTable5[[#This Row],[Net_Revenue]],0))</f>
        <v>0.47473736868434219</v>
      </c>
      <c r="Y121">
        <f>RawSalesTable5[[#This Row],[Ship_Date]]-RawSalesTable5[[#This Row],[Order_Date]]</f>
        <v>8</v>
      </c>
      <c r="Z121" s="28">
        <f>DATE(YEAR(RawSalesTable5[[#This Row],[Order_Date]]),MONTH(RawSalesTable5[[#This Row],[Order_Date]]),1)</f>
        <v>45809</v>
      </c>
      <c r="AA121" t="str" cm="1">
        <f t="array" ref="AA121">IF(RawSalesTable5[[#This Row],[Lookup_Status]]="Missing Product","",_xlfn.IFS(RawSalesTable5[[#This Row],[Net_Revenue]]&gt;=20000,"High",RawSalesTable5[[#This Row],[Net_Revenue]]&gt;=10000,"Medium",TRUE,"Low"))</f>
        <v>Low</v>
      </c>
    </row>
    <row r="122" spans="1:27">
      <c r="A122" t="s">
        <v>254</v>
      </c>
      <c r="B122" s="15">
        <v>45802</v>
      </c>
      <c r="C122" s="15">
        <v>45809</v>
      </c>
      <c r="D122" t="s">
        <v>83</v>
      </c>
      <c r="E122" t="s">
        <v>84</v>
      </c>
      <c r="F122" t="s">
        <v>118</v>
      </c>
      <c r="G122" t="s">
        <v>125</v>
      </c>
      <c r="H122" t="s">
        <v>86</v>
      </c>
      <c r="I122" s="17">
        <v>5</v>
      </c>
      <c r="J122" s="16">
        <v>0.1</v>
      </c>
      <c r="K122" t="s">
        <v>95</v>
      </c>
      <c r="L122" t="s">
        <v>89</v>
      </c>
      <c r="M122" s="17">
        <v>3</v>
      </c>
      <c r="N122" t="str" cm="1">
        <f t="array" ref="N122">_xlfn.XLOOKUP(RawSalesTable5[[#This Row],[Product_Code]],ProductLookupTable[[#All],[Product_Code]],ProductLookupTable[[#All],[Product_Name]],"NOT FOUND")</f>
        <v>Mechanical Keyboard</v>
      </c>
      <c r="O122" t="str" cm="1">
        <f t="array" ref="O122">_xlfn.XLOOKUP(RawSalesTable5[[#This Row],[Product_Code]],ProductLookupTable[[#All],[Product_Code]],ProductLookupTable[[#All],[Category]],"NOT FOUND")</f>
        <v>Accessories</v>
      </c>
      <c r="P122" cm="1">
        <f t="array" ref="P122">_xlfn.XLOOKUP(RawSalesTable5[[#This Row],[Product_Code]],ProductLookupTable[[#All],[Product_Code]],ProductLookupTable[[#All],[Unit_Price]],"NOT FOUND")</f>
        <v>2499</v>
      </c>
      <c r="Q122" t="str">
        <f>IF(COUNTIF(ProductLookupTable[Product_Code],RawSalesTable5[[#This Row],[Product_Code]])=0,"Missing Product","OK")</f>
        <v>OK</v>
      </c>
      <c r="R122" cm="1">
        <f t="array" ref="R122">_xlfn.XLOOKUP(RawSalesTable5[[#This Row],[Product_Code]],ProductLookupTable[[#All],[Product_Code]],ProductLookupTable[[#All],[Unit_Cost]],"NOT FOUND")</f>
        <v>1450</v>
      </c>
      <c r="S122">
        <f>IFERROR(RawSalesTable5[[#This Row],[Quantity]]*RawSalesTable5[[#This Row],[Unit_Price]],"NOT FOUND")</f>
        <v>12495</v>
      </c>
      <c r="T122">
        <f>IFERROR(RawSalesTable5[[#This Row],[Gross_Revenue]]*RawSalesTable5[[#This Row],[Discount_Pct]],"NOT FOUND")</f>
        <v>1249.5</v>
      </c>
      <c r="U122">
        <f>IFERROR(RawSalesTable5[[#This Row],[Gross_Revenue]]-RawSalesTable5[[#This Row],[Discount_Value]],"NOT FOUND")</f>
        <v>11245.5</v>
      </c>
      <c r="V122">
        <f>IFERROR(RawSalesTable5[[#This Row],[Quantity]]*RawSalesTable5[[#This Row],[Unit_Cost]],"NOT FOUND")</f>
        <v>7250</v>
      </c>
      <c r="W122">
        <f>IFERROR(RawSalesTable5[[#This Row],[Net_Revenue]]-RawSalesTable5[[#This Row],[Cost]],"NOT FOUND")</f>
        <v>3995.5</v>
      </c>
      <c r="X122" s="27">
        <f>IF(RawSalesTable5[[#This Row],[Lookup_Status]]="Missing Product","",IFERROR(RawSalesTable5[[#This Row],[Profit]]/RawSalesTable5[[#This Row],[Net_Revenue]],0))</f>
        <v>0.35529767462540573</v>
      </c>
      <c r="Y122">
        <f>RawSalesTable5[[#This Row],[Ship_Date]]-RawSalesTable5[[#This Row],[Order_Date]]</f>
        <v>7</v>
      </c>
      <c r="Z122" s="28">
        <f>DATE(YEAR(RawSalesTable5[[#This Row],[Order_Date]]),MONTH(RawSalesTable5[[#This Row],[Order_Date]]),1)</f>
        <v>45778</v>
      </c>
      <c r="AA122" t="str" cm="1">
        <f t="array" ref="AA122">IF(RawSalesTable5[[#This Row],[Lookup_Status]]="Missing Product","",_xlfn.IFS(RawSalesTable5[[#This Row],[Net_Revenue]]&gt;=20000,"High",RawSalesTable5[[#This Row],[Net_Revenue]]&gt;=10000,"Medium",TRUE,"Low"))</f>
        <v>Medium</v>
      </c>
    </row>
    <row r="123" spans="1:27">
      <c r="A123" t="s">
        <v>255</v>
      </c>
      <c r="B123" s="15">
        <v>45969</v>
      </c>
      <c r="C123" s="15">
        <v>45977</v>
      </c>
      <c r="D123" t="s">
        <v>531</v>
      </c>
      <c r="E123" t="s">
        <v>92</v>
      </c>
      <c r="F123" t="s">
        <v>147</v>
      </c>
      <c r="G123" t="s">
        <v>94</v>
      </c>
      <c r="H123" t="s">
        <v>87</v>
      </c>
      <c r="I123" s="17">
        <v>4</v>
      </c>
      <c r="J123" s="16">
        <v>0</v>
      </c>
      <c r="K123" t="s">
        <v>140</v>
      </c>
      <c r="L123" t="s">
        <v>89</v>
      </c>
      <c r="M123" s="17">
        <v>5</v>
      </c>
      <c r="N123" t="str" cm="1">
        <f t="array" ref="N123">_xlfn.XLOOKUP(RawSalesTable5[[#This Row],[Product_Code]],ProductLookupTable[[#All],[Product_Code]],ProductLookupTable[[#All],[Product_Name]],"NOT FOUND")</f>
        <v>LED Desk Lamp</v>
      </c>
      <c r="O123" t="str" cm="1">
        <f t="array" ref="O123">_xlfn.XLOOKUP(RawSalesTable5[[#This Row],[Product_Code]],ProductLookupTable[[#All],[Product_Code]],ProductLookupTable[[#All],[Category]],"NOT FOUND")</f>
        <v>Furniture</v>
      </c>
      <c r="P123" cm="1">
        <f t="array" ref="P123">_xlfn.XLOOKUP(RawSalesTable5[[#This Row],[Product_Code]],ProductLookupTable[[#All],[Product_Code]],ProductLookupTable[[#All],[Unit_Price]],"NOT FOUND")</f>
        <v>1999</v>
      </c>
      <c r="Q123" t="str">
        <f>IF(COUNTIF(ProductLookupTable[Product_Code],RawSalesTable5[[#This Row],[Product_Code]])=0,"Missing Product","OK")</f>
        <v>OK</v>
      </c>
      <c r="R123" cm="1">
        <f t="array" ref="R123">_xlfn.XLOOKUP(RawSalesTable5[[#This Row],[Product_Code]],ProductLookupTable[[#All],[Product_Code]],ProductLookupTable[[#All],[Unit_Cost]],"NOT FOUND")</f>
        <v>1050</v>
      </c>
      <c r="S123">
        <f>IFERROR(RawSalesTable5[[#This Row],[Quantity]]*RawSalesTable5[[#This Row],[Unit_Price]],"NOT FOUND")</f>
        <v>7996</v>
      </c>
      <c r="T123">
        <f>IFERROR(RawSalesTable5[[#This Row],[Gross_Revenue]]*RawSalesTable5[[#This Row],[Discount_Pct]],"NOT FOUND")</f>
        <v>0</v>
      </c>
      <c r="U123">
        <f>IFERROR(RawSalesTable5[[#This Row],[Gross_Revenue]]-RawSalesTable5[[#This Row],[Discount_Value]],"NOT FOUND")</f>
        <v>7996</v>
      </c>
      <c r="V123">
        <f>IFERROR(RawSalesTable5[[#This Row],[Quantity]]*RawSalesTable5[[#This Row],[Unit_Cost]],"NOT FOUND")</f>
        <v>4200</v>
      </c>
      <c r="W123">
        <f>IFERROR(RawSalesTable5[[#This Row],[Net_Revenue]]-RawSalesTable5[[#This Row],[Cost]],"NOT FOUND")</f>
        <v>3796</v>
      </c>
      <c r="X123" s="27">
        <f>IF(RawSalesTable5[[#This Row],[Lookup_Status]]="Missing Product","",IFERROR(RawSalesTable5[[#This Row],[Profit]]/RawSalesTable5[[#This Row],[Net_Revenue]],0))</f>
        <v>0.47473736868434219</v>
      </c>
      <c r="Y123">
        <f>RawSalesTable5[[#This Row],[Ship_Date]]-RawSalesTable5[[#This Row],[Order_Date]]</f>
        <v>8</v>
      </c>
      <c r="Z123" s="28">
        <f>DATE(YEAR(RawSalesTable5[[#This Row],[Order_Date]]),MONTH(RawSalesTable5[[#This Row],[Order_Date]]),1)</f>
        <v>45962</v>
      </c>
      <c r="AA123" t="str" cm="1">
        <f t="array" ref="AA123">IF(RawSalesTable5[[#This Row],[Lookup_Status]]="Missing Product","",_xlfn.IFS(RawSalesTable5[[#This Row],[Net_Revenue]]&gt;=20000,"High",RawSalesTable5[[#This Row],[Net_Revenue]]&gt;=10000,"Medium",TRUE,"Low"))</f>
        <v>Low</v>
      </c>
    </row>
    <row r="124" spans="1:27">
      <c r="A124" t="s">
        <v>256</v>
      </c>
      <c r="B124" s="15">
        <v>45730</v>
      </c>
      <c r="C124" s="15">
        <v>45737</v>
      </c>
      <c r="D124" t="s">
        <v>157</v>
      </c>
      <c r="E124" t="s">
        <v>98</v>
      </c>
      <c r="F124" t="s">
        <v>124</v>
      </c>
      <c r="G124" t="s">
        <v>125</v>
      </c>
      <c r="H124" t="s">
        <v>87</v>
      </c>
      <c r="I124" s="17">
        <v>5</v>
      </c>
      <c r="J124" s="16">
        <v>0.1</v>
      </c>
      <c r="K124" t="s">
        <v>88</v>
      </c>
      <c r="L124" t="s">
        <v>126</v>
      </c>
      <c r="M124" s="17">
        <v>3</v>
      </c>
      <c r="N124" t="str" cm="1">
        <f t="array" ref="N124">_xlfn.XLOOKUP(RawSalesTable5[[#This Row],[Product_Code]],ProductLookupTable[[#All],[Product_Code]],ProductLookupTable[[#All],[Product_Name]],"NOT FOUND")</f>
        <v>Wireless Mouse</v>
      </c>
      <c r="O124" t="str" cm="1">
        <f t="array" ref="O124">_xlfn.XLOOKUP(RawSalesTable5[[#This Row],[Product_Code]],ProductLookupTable[[#All],[Product_Code]],ProductLookupTable[[#All],[Category]],"NOT FOUND")</f>
        <v>Accessories</v>
      </c>
      <c r="P124" cm="1">
        <f t="array" ref="P124">_xlfn.XLOOKUP(RawSalesTable5[[#This Row],[Product_Code]],ProductLookupTable[[#All],[Product_Code]],ProductLookupTable[[#All],[Unit_Price]],"NOT FOUND")</f>
        <v>799</v>
      </c>
      <c r="Q124" t="str">
        <f>IF(COUNTIF(ProductLookupTable[Product_Code],RawSalesTable5[[#This Row],[Product_Code]])=0,"Missing Product","OK")</f>
        <v>OK</v>
      </c>
      <c r="R124" cm="1">
        <f t="array" ref="R124">_xlfn.XLOOKUP(RawSalesTable5[[#This Row],[Product_Code]],ProductLookupTable[[#All],[Product_Code]],ProductLookupTable[[#All],[Unit_Cost]],"NOT FOUND")</f>
        <v>420</v>
      </c>
      <c r="S124">
        <f>IFERROR(RawSalesTable5[[#This Row],[Quantity]]*RawSalesTable5[[#This Row],[Unit_Price]],"NOT FOUND")</f>
        <v>3995</v>
      </c>
      <c r="T124">
        <f>IFERROR(RawSalesTable5[[#This Row],[Gross_Revenue]]*RawSalesTable5[[#This Row],[Discount_Pct]],"NOT FOUND")</f>
        <v>399.5</v>
      </c>
      <c r="U124">
        <f>IFERROR(RawSalesTable5[[#This Row],[Gross_Revenue]]-RawSalesTable5[[#This Row],[Discount_Value]],"NOT FOUND")</f>
        <v>3595.5</v>
      </c>
      <c r="V124">
        <f>IFERROR(RawSalesTable5[[#This Row],[Quantity]]*RawSalesTable5[[#This Row],[Unit_Cost]],"NOT FOUND")</f>
        <v>2100</v>
      </c>
      <c r="W124">
        <f>IFERROR(RawSalesTable5[[#This Row],[Net_Revenue]]-RawSalesTable5[[#This Row],[Cost]],"NOT FOUND")</f>
        <v>1495.5</v>
      </c>
      <c r="X124" s="27">
        <f>IF(RawSalesTable5[[#This Row],[Lookup_Status]]="Missing Product","",IFERROR(RawSalesTable5[[#This Row],[Profit]]/RawSalesTable5[[#This Row],[Net_Revenue]],0))</f>
        <v>0.41593658740091782</v>
      </c>
      <c r="Y124">
        <f>RawSalesTable5[[#This Row],[Ship_Date]]-RawSalesTable5[[#This Row],[Order_Date]]</f>
        <v>7</v>
      </c>
      <c r="Z124" s="28">
        <f>DATE(YEAR(RawSalesTable5[[#This Row],[Order_Date]]),MONTH(RawSalesTable5[[#This Row],[Order_Date]]),1)</f>
        <v>45717</v>
      </c>
      <c r="AA124" t="str" cm="1">
        <f t="array" ref="AA124">IF(RawSalesTable5[[#This Row],[Lookup_Status]]="Missing Product","",_xlfn.IFS(RawSalesTable5[[#This Row],[Net_Revenue]]&gt;=20000,"High",RawSalesTable5[[#This Row],[Net_Revenue]]&gt;=10000,"Medium",TRUE,"Low"))</f>
        <v>Low</v>
      </c>
    </row>
    <row r="125" spans="1:27">
      <c r="A125" t="s">
        <v>257</v>
      </c>
      <c r="B125" s="15">
        <v>45744</v>
      </c>
      <c r="C125" s="15">
        <v>45750</v>
      </c>
      <c r="D125" t="s">
        <v>212</v>
      </c>
      <c r="E125" t="s">
        <v>101</v>
      </c>
      <c r="F125" t="s">
        <v>124</v>
      </c>
      <c r="G125" t="s">
        <v>94</v>
      </c>
      <c r="H125" t="s">
        <v>87</v>
      </c>
      <c r="I125" s="17">
        <v>5</v>
      </c>
      <c r="J125" s="16">
        <v>0.1</v>
      </c>
      <c r="K125" t="s">
        <v>140</v>
      </c>
      <c r="L125" t="s">
        <v>89</v>
      </c>
      <c r="M125" s="17">
        <v>3</v>
      </c>
      <c r="N125" t="str" cm="1">
        <f t="array" ref="N125">_xlfn.XLOOKUP(RawSalesTable5[[#This Row],[Product_Code]],ProductLookupTable[[#All],[Product_Code]],ProductLookupTable[[#All],[Product_Name]],"NOT FOUND")</f>
        <v>Wireless Mouse</v>
      </c>
      <c r="O125" t="str" cm="1">
        <f t="array" ref="O125">_xlfn.XLOOKUP(RawSalesTable5[[#This Row],[Product_Code]],ProductLookupTable[[#All],[Product_Code]],ProductLookupTable[[#All],[Category]],"NOT FOUND")</f>
        <v>Accessories</v>
      </c>
      <c r="P125" cm="1">
        <f t="array" ref="P125">_xlfn.XLOOKUP(RawSalesTable5[[#This Row],[Product_Code]],ProductLookupTable[[#All],[Product_Code]],ProductLookupTable[[#All],[Unit_Price]],"NOT FOUND")</f>
        <v>799</v>
      </c>
      <c r="Q125" t="str">
        <f>IF(COUNTIF(ProductLookupTable[Product_Code],RawSalesTable5[[#This Row],[Product_Code]])=0,"Missing Product","OK")</f>
        <v>OK</v>
      </c>
      <c r="R125" cm="1">
        <f t="array" ref="R125">_xlfn.XLOOKUP(RawSalesTable5[[#This Row],[Product_Code]],ProductLookupTable[[#All],[Product_Code]],ProductLookupTable[[#All],[Unit_Cost]],"NOT FOUND")</f>
        <v>420</v>
      </c>
      <c r="S125">
        <f>IFERROR(RawSalesTable5[[#This Row],[Quantity]]*RawSalesTable5[[#This Row],[Unit_Price]],"NOT FOUND")</f>
        <v>3995</v>
      </c>
      <c r="T125">
        <f>IFERROR(RawSalesTable5[[#This Row],[Gross_Revenue]]*RawSalesTable5[[#This Row],[Discount_Pct]],"NOT FOUND")</f>
        <v>399.5</v>
      </c>
      <c r="U125">
        <f>IFERROR(RawSalesTable5[[#This Row],[Gross_Revenue]]-RawSalesTable5[[#This Row],[Discount_Value]],"NOT FOUND")</f>
        <v>3595.5</v>
      </c>
      <c r="V125">
        <f>IFERROR(RawSalesTable5[[#This Row],[Quantity]]*RawSalesTable5[[#This Row],[Unit_Cost]],"NOT FOUND")</f>
        <v>2100</v>
      </c>
      <c r="W125">
        <f>IFERROR(RawSalesTable5[[#This Row],[Net_Revenue]]-RawSalesTable5[[#This Row],[Cost]],"NOT FOUND")</f>
        <v>1495.5</v>
      </c>
      <c r="X125" s="27">
        <f>IF(RawSalesTable5[[#This Row],[Lookup_Status]]="Missing Product","",IFERROR(RawSalesTable5[[#This Row],[Profit]]/RawSalesTable5[[#This Row],[Net_Revenue]],0))</f>
        <v>0.41593658740091782</v>
      </c>
      <c r="Y125">
        <f>RawSalesTable5[[#This Row],[Ship_Date]]-RawSalesTable5[[#This Row],[Order_Date]]</f>
        <v>6</v>
      </c>
      <c r="Z125" s="28">
        <f>DATE(YEAR(RawSalesTable5[[#This Row],[Order_Date]]),MONTH(RawSalesTable5[[#This Row],[Order_Date]]),1)</f>
        <v>45717</v>
      </c>
      <c r="AA125" t="str" cm="1">
        <f t="array" ref="AA125">IF(RawSalesTable5[[#This Row],[Lookup_Status]]="Missing Product","",_xlfn.IFS(RawSalesTable5[[#This Row],[Net_Revenue]]&gt;=20000,"High",RawSalesTable5[[#This Row],[Net_Revenue]]&gt;=10000,"Medium",TRUE,"Low"))</f>
        <v>Low</v>
      </c>
    </row>
    <row r="126" spans="1:27">
      <c r="A126" t="s">
        <v>258</v>
      </c>
      <c r="B126" s="15">
        <v>45932</v>
      </c>
      <c r="C126" s="15">
        <v>45934</v>
      </c>
      <c r="D126" t="s">
        <v>123</v>
      </c>
      <c r="E126" t="s">
        <v>106</v>
      </c>
      <c r="F126" t="s">
        <v>102</v>
      </c>
      <c r="G126" t="s">
        <v>125</v>
      </c>
      <c r="H126" t="s">
        <v>86</v>
      </c>
      <c r="I126" s="17">
        <v>3</v>
      </c>
      <c r="J126" s="16">
        <v>0</v>
      </c>
      <c r="K126" t="s">
        <v>112</v>
      </c>
      <c r="L126" t="s">
        <v>89</v>
      </c>
      <c r="M126" s="17">
        <v>5</v>
      </c>
      <c r="N126" t="str" cm="1">
        <f t="array" ref="N126">_xlfn.XLOOKUP(RawSalesTable5[[#This Row],[Product_Code]],ProductLookupTable[[#All],[Product_Code]],ProductLookupTable[[#All],[Product_Name]],"NOT FOUND")</f>
        <v>SSD 1TB</v>
      </c>
      <c r="O126" t="str" cm="1">
        <f t="array" ref="O126">_xlfn.XLOOKUP(RawSalesTable5[[#This Row],[Product_Code]],ProductLookupTable[[#All],[Product_Code]],ProductLookupTable[[#All],[Category]],"NOT FOUND")</f>
        <v>Storage</v>
      </c>
      <c r="P126" cm="1">
        <f t="array" ref="P126">_xlfn.XLOOKUP(RawSalesTable5[[#This Row],[Product_Code]],ProductLookupTable[[#All],[Product_Code]],ProductLookupTable[[#All],[Unit_Price]],"NOT FOUND")</f>
        <v>6999</v>
      </c>
      <c r="Q126" t="str">
        <f>IF(COUNTIF(ProductLookupTable[Product_Code],RawSalesTable5[[#This Row],[Product_Code]])=0,"Missing Product","OK")</f>
        <v>OK</v>
      </c>
      <c r="R126" cm="1">
        <f t="array" ref="R126">_xlfn.XLOOKUP(RawSalesTable5[[#This Row],[Product_Code]],ProductLookupTable[[#All],[Product_Code]],ProductLookupTable[[#All],[Unit_Cost]],"NOT FOUND")</f>
        <v>4900</v>
      </c>
      <c r="S126">
        <f>IFERROR(RawSalesTable5[[#This Row],[Quantity]]*RawSalesTable5[[#This Row],[Unit_Price]],"NOT FOUND")</f>
        <v>20997</v>
      </c>
      <c r="T126">
        <f>IFERROR(RawSalesTable5[[#This Row],[Gross_Revenue]]*RawSalesTable5[[#This Row],[Discount_Pct]],"NOT FOUND")</f>
        <v>0</v>
      </c>
      <c r="U126">
        <f>IFERROR(RawSalesTable5[[#This Row],[Gross_Revenue]]-RawSalesTable5[[#This Row],[Discount_Value]],"NOT FOUND")</f>
        <v>20997</v>
      </c>
      <c r="V126">
        <f>IFERROR(RawSalesTable5[[#This Row],[Quantity]]*RawSalesTable5[[#This Row],[Unit_Cost]],"NOT FOUND")</f>
        <v>14700</v>
      </c>
      <c r="W126">
        <f>IFERROR(RawSalesTable5[[#This Row],[Net_Revenue]]-RawSalesTable5[[#This Row],[Cost]],"NOT FOUND")</f>
        <v>6297</v>
      </c>
      <c r="X126" s="27">
        <f>IF(RawSalesTable5[[#This Row],[Lookup_Status]]="Missing Product","",IFERROR(RawSalesTable5[[#This Row],[Profit]]/RawSalesTable5[[#This Row],[Net_Revenue]],0))</f>
        <v>0.29989998571224463</v>
      </c>
      <c r="Y126">
        <f>RawSalesTable5[[#This Row],[Ship_Date]]-RawSalesTable5[[#This Row],[Order_Date]]</f>
        <v>2</v>
      </c>
      <c r="Z126" s="28">
        <f>DATE(YEAR(RawSalesTable5[[#This Row],[Order_Date]]),MONTH(RawSalesTable5[[#This Row],[Order_Date]]),1)</f>
        <v>45931</v>
      </c>
      <c r="AA126" t="str" cm="1">
        <f t="array" ref="AA126">IF(RawSalesTable5[[#This Row],[Lookup_Status]]="Missing Product","",_xlfn.IFS(RawSalesTable5[[#This Row],[Net_Revenue]]&gt;=20000,"High",RawSalesTable5[[#This Row],[Net_Revenue]]&gt;=10000,"Medium",TRUE,"Low"))</f>
        <v>High</v>
      </c>
    </row>
    <row r="127" spans="1:27">
      <c r="A127" t="s">
        <v>259</v>
      </c>
      <c r="B127" s="15">
        <v>45774</v>
      </c>
      <c r="C127" s="15">
        <v>45782</v>
      </c>
      <c r="D127" t="s">
        <v>83</v>
      </c>
      <c r="E127" t="s">
        <v>111</v>
      </c>
      <c r="F127" t="s">
        <v>149</v>
      </c>
      <c r="G127" t="s">
        <v>94</v>
      </c>
      <c r="H127" t="s">
        <v>87</v>
      </c>
      <c r="I127" s="17">
        <v>2</v>
      </c>
      <c r="J127" s="16">
        <v>0.2</v>
      </c>
      <c r="K127" t="s">
        <v>112</v>
      </c>
      <c r="L127" t="s">
        <v>89</v>
      </c>
      <c r="M127" s="17">
        <v>5</v>
      </c>
      <c r="N127" t="str" cm="1">
        <f t="array" ref="N127">_xlfn.XLOOKUP(RawSalesTable5[[#This Row],[Product_Code]],ProductLookupTable[[#All],[Product_Code]],ProductLookupTable[[#All],[Product_Name]],"NOT FOUND")</f>
        <v>Portable HDD 2TB</v>
      </c>
      <c r="O127" t="str" cm="1">
        <f t="array" ref="O127">_xlfn.XLOOKUP(RawSalesTable5[[#This Row],[Product_Code]],ProductLookupTable[[#All],[Product_Code]],ProductLookupTable[[#All],[Category]],"NOT FOUND")</f>
        <v>Storage</v>
      </c>
      <c r="P127" cm="1">
        <f t="array" ref="P127">_xlfn.XLOOKUP(RawSalesTable5[[#This Row],[Product_Code]],ProductLookupTable[[#All],[Product_Code]],ProductLookupTable[[#All],[Unit_Price]],"NOT FOUND")</f>
        <v>5899</v>
      </c>
      <c r="Q127" t="str">
        <f>IF(COUNTIF(ProductLookupTable[Product_Code],RawSalesTable5[[#This Row],[Product_Code]])=0,"Missing Product","OK")</f>
        <v>OK</v>
      </c>
      <c r="R127" cm="1">
        <f t="array" ref="R127">_xlfn.XLOOKUP(RawSalesTable5[[#This Row],[Product_Code]],ProductLookupTable[[#All],[Product_Code]],ProductLookupTable[[#All],[Unit_Cost]],"NOT FOUND")</f>
        <v>4100</v>
      </c>
      <c r="S127">
        <f>IFERROR(RawSalesTable5[[#This Row],[Quantity]]*RawSalesTable5[[#This Row],[Unit_Price]],"NOT FOUND")</f>
        <v>11798</v>
      </c>
      <c r="T127">
        <f>IFERROR(RawSalesTable5[[#This Row],[Gross_Revenue]]*RawSalesTable5[[#This Row],[Discount_Pct]],"NOT FOUND")</f>
        <v>2359.6</v>
      </c>
      <c r="U127">
        <f>IFERROR(RawSalesTable5[[#This Row],[Gross_Revenue]]-RawSalesTable5[[#This Row],[Discount_Value]],"NOT FOUND")</f>
        <v>9438.4</v>
      </c>
      <c r="V127">
        <f>IFERROR(RawSalesTable5[[#This Row],[Quantity]]*RawSalesTable5[[#This Row],[Unit_Cost]],"NOT FOUND")</f>
        <v>8200</v>
      </c>
      <c r="W127">
        <f>IFERROR(RawSalesTable5[[#This Row],[Net_Revenue]]-RawSalesTable5[[#This Row],[Cost]],"NOT FOUND")</f>
        <v>1238.3999999999996</v>
      </c>
      <c r="X127" s="27">
        <f>IF(RawSalesTable5[[#This Row],[Lookup_Status]]="Missing Product","",IFERROR(RawSalesTable5[[#This Row],[Profit]]/RawSalesTable5[[#This Row],[Net_Revenue]],0))</f>
        <v>0.13120867943719272</v>
      </c>
      <c r="Y127">
        <f>RawSalesTable5[[#This Row],[Ship_Date]]-RawSalesTable5[[#This Row],[Order_Date]]</f>
        <v>8</v>
      </c>
      <c r="Z127" s="28">
        <f>DATE(YEAR(RawSalesTable5[[#This Row],[Order_Date]]),MONTH(RawSalesTable5[[#This Row],[Order_Date]]),1)</f>
        <v>45748</v>
      </c>
      <c r="AA127" t="str" cm="1">
        <f t="array" ref="AA127">IF(RawSalesTable5[[#This Row],[Lookup_Status]]="Missing Product","",_xlfn.IFS(RawSalesTable5[[#This Row],[Net_Revenue]]&gt;=20000,"High",RawSalesTable5[[#This Row],[Net_Revenue]]&gt;=10000,"Medium",TRUE,"Low"))</f>
        <v>Low</v>
      </c>
    </row>
    <row r="128" spans="1:27">
      <c r="A128" t="s">
        <v>260</v>
      </c>
      <c r="B128" s="15">
        <v>45959</v>
      </c>
      <c r="C128" s="15">
        <v>45965</v>
      </c>
      <c r="D128" t="s">
        <v>114</v>
      </c>
      <c r="E128" t="s">
        <v>84</v>
      </c>
      <c r="F128" t="s">
        <v>85</v>
      </c>
      <c r="G128" t="s">
        <v>108</v>
      </c>
      <c r="H128" t="s">
        <v>87</v>
      </c>
      <c r="I128" s="17">
        <v>5</v>
      </c>
      <c r="J128" s="16">
        <v>0.15</v>
      </c>
      <c r="K128" t="s">
        <v>88</v>
      </c>
      <c r="L128" t="s">
        <v>89</v>
      </c>
      <c r="M128" s="17">
        <v>4</v>
      </c>
      <c r="N128" t="str" cm="1">
        <f t="array" ref="N128">_xlfn.XLOOKUP(RawSalesTable5[[#This Row],[Product_Code]],ProductLookupTable[[#All],[Product_Code]],ProductLookupTable[[#All],[Product_Name]],"NOT FOUND")</f>
        <v>Ergonomic Chair</v>
      </c>
      <c r="O128" t="str" cm="1">
        <f t="array" ref="O128">_xlfn.XLOOKUP(RawSalesTable5[[#This Row],[Product_Code]],ProductLookupTable[[#All],[Product_Code]],ProductLookupTable[[#All],[Category]],"NOT FOUND")</f>
        <v>Furniture</v>
      </c>
      <c r="P128" cm="1">
        <f t="array" ref="P128">_xlfn.XLOOKUP(RawSalesTable5[[#This Row],[Product_Code]],ProductLookupTable[[#All],[Product_Code]],ProductLookupTable[[#All],[Unit_Price]],"NOT FOUND")</f>
        <v>10499</v>
      </c>
      <c r="Q128" t="str">
        <f>IF(COUNTIF(ProductLookupTable[Product_Code],RawSalesTable5[[#This Row],[Product_Code]])=0,"Missing Product","OK")</f>
        <v>OK</v>
      </c>
      <c r="R128" cm="1">
        <f t="array" ref="R128">_xlfn.XLOOKUP(RawSalesTable5[[#This Row],[Product_Code]],ProductLookupTable[[#All],[Product_Code]],ProductLookupTable[[#All],[Unit_Cost]],"NOT FOUND")</f>
        <v>7600</v>
      </c>
      <c r="S128">
        <f>IFERROR(RawSalesTable5[[#This Row],[Quantity]]*RawSalesTable5[[#This Row],[Unit_Price]],"NOT FOUND")</f>
        <v>52495</v>
      </c>
      <c r="T128">
        <f>IFERROR(RawSalesTable5[[#This Row],[Gross_Revenue]]*RawSalesTable5[[#This Row],[Discount_Pct]],"NOT FOUND")</f>
        <v>7874.25</v>
      </c>
      <c r="U128">
        <f>IFERROR(RawSalesTable5[[#This Row],[Gross_Revenue]]-RawSalesTable5[[#This Row],[Discount_Value]],"NOT FOUND")</f>
        <v>44620.75</v>
      </c>
      <c r="V128">
        <f>IFERROR(RawSalesTable5[[#This Row],[Quantity]]*RawSalesTable5[[#This Row],[Unit_Cost]],"NOT FOUND")</f>
        <v>38000</v>
      </c>
      <c r="W128">
        <f>IFERROR(RawSalesTable5[[#This Row],[Net_Revenue]]-RawSalesTable5[[#This Row],[Cost]],"NOT FOUND")</f>
        <v>6620.75</v>
      </c>
      <c r="X128" s="27">
        <f>IF(RawSalesTable5[[#This Row],[Lookup_Status]]="Missing Product","",IFERROR(RawSalesTable5[[#This Row],[Profit]]/RawSalesTable5[[#This Row],[Net_Revenue]],0))</f>
        <v>0.14837827692273214</v>
      </c>
      <c r="Y128">
        <f>RawSalesTable5[[#This Row],[Ship_Date]]-RawSalesTable5[[#This Row],[Order_Date]]</f>
        <v>6</v>
      </c>
      <c r="Z128" s="28">
        <f>DATE(YEAR(RawSalesTable5[[#This Row],[Order_Date]]),MONTH(RawSalesTable5[[#This Row],[Order_Date]]),1)</f>
        <v>45931</v>
      </c>
      <c r="AA128" t="str" cm="1">
        <f t="array" ref="AA128">IF(RawSalesTable5[[#This Row],[Lookup_Status]]="Missing Product","",_xlfn.IFS(RawSalesTable5[[#This Row],[Net_Revenue]]&gt;=20000,"High",RawSalesTable5[[#This Row],[Net_Revenue]]&gt;=10000,"Medium",TRUE,"Low"))</f>
        <v>High</v>
      </c>
    </row>
    <row r="129" spans="1:27">
      <c r="A129" t="s">
        <v>261</v>
      </c>
      <c r="B129" s="15">
        <v>45974</v>
      </c>
      <c r="C129" s="15">
        <v>45981</v>
      </c>
      <c r="D129" t="s">
        <v>157</v>
      </c>
      <c r="E129" t="s">
        <v>92</v>
      </c>
      <c r="F129" t="s">
        <v>85</v>
      </c>
      <c r="G129" t="s">
        <v>94</v>
      </c>
      <c r="H129" t="s">
        <v>103</v>
      </c>
      <c r="I129" s="17">
        <v>3</v>
      </c>
      <c r="J129" s="16">
        <v>0</v>
      </c>
      <c r="K129" t="s">
        <v>140</v>
      </c>
      <c r="L129" t="s">
        <v>126</v>
      </c>
      <c r="M129" s="17">
        <v>2</v>
      </c>
      <c r="N129" t="str" cm="1">
        <f t="array" ref="N129">_xlfn.XLOOKUP(RawSalesTable5[[#This Row],[Product_Code]],ProductLookupTable[[#All],[Product_Code]],ProductLookupTable[[#All],[Product_Name]],"NOT FOUND")</f>
        <v>Ergonomic Chair</v>
      </c>
      <c r="O129" t="str" cm="1">
        <f t="array" ref="O129">_xlfn.XLOOKUP(RawSalesTable5[[#This Row],[Product_Code]],ProductLookupTable[[#All],[Product_Code]],ProductLookupTable[[#All],[Category]],"NOT FOUND")</f>
        <v>Furniture</v>
      </c>
      <c r="P129" cm="1">
        <f t="array" ref="P129">_xlfn.XLOOKUP(RawSalesTable5[[#This Row],[Product_Code]],ProductLookupTable[[#All],[Product_Code]],ProductLookupTable[[#All],[Unit_Price]],"NOT FOUND")</f>
        <v>10499</v>
      </c>
      <c r="Q129" t="str">
        <f>IF(COUNTIF(ProductLookupTable[Product_Code],RawSalesTable5[[#This Row],[Product_Code]])=0,"Missing Product","OK")</f>
        <v>OK</v>
      </c>
      <c r="R129" cm="1">
        <f t="array" ref="R129">_xlfn.XLOOKUP(RawSalesTable5[[#This Row],[Product_Code]],ProductLookupTable[[#All],[Product_Code]],ProductLookupTable[[#All],[Unit_Cost]],"NOT FOUND")</f>
        <v>7600</v>
      </c>
      <c r="S129">
        <f>IFERROR(RawSalesTable5[[#This Row],[Quantity]]*RawSalesTable5[[#This Row],[Unit_Price]],"NOT FOUND")</f>
        <v>31497</v>
      </c>
      <c r="T129">
        <f>IFERROR(RawSalesTable5[[#This Row],[Gross_Revenue]]*RawSalesTable5[[#This Row],[Discount_Pct]],"NOT FOUND")</f>
        <v>0</v>
      </c>
      <c r="U129">
        <f>IFERROR(RawSalesTable5[[#This Row],[Gross_Revenue]]-RawSalesTable5[[#This Row],[Discount_Value]],"NOT FOUND")</f>
        <v>31497</v>
      </c>
      <c r="V129">
        <f>IFERROR(RawSalesTable5[[#This Row],[Quantity]]*RawSalesTable5[[#This Row],[Unit_Cost]],"NOT FOUND")</f>
        <v>22800</v>
      </c>
      <c r="W129">
        <f>IFERROR(RawSalesTable5[[#This Row],[Net_Revenue]]-RawSalesTable5[[#This Row],[Cost]],"NOT FOUND")</f>
        <v>8697</v>
      </c>
      <c r="X129" s="27">
        <f>IF(RawSalesTable5[[#This Row],[Lookup_Status]]="Missing Product","",IFERROR(RawSalesTable5[[#This Row],[Profit]]/RawSalesTable5[[#This Row],[Net_Revenue]],0))</f>
        <v>0.27612153538432233</v>
      </c>
      <c r="Y129">
        <f>RawSalesTable5[[#This Row],[Ship_Date]]-RawSalesTable5[[#This Row],[Order_Date]]</f>
        <v>7</v>
      </c>
      <c r="Z129" s="28">
        <f>DATE(YEAR(RawSalesTable5[[#This Row],[Order_Date]]),MONTH(RawSalesTable5[[#This Row],[Order_Date]]),1)</f>
        <v>45962</v>
      </c>
      <c r="AA129" t="str" cm="1">
        <f t="array" ref="AA129">IF(RawSalesTable5[[#This Row],[Lookup_Status]]="Missing Product","",_xlfn.IFS(RawSalesTable5[[#This Row],[Net_Revenue]]&gt;=20000,"High",RawSalesTable5[[#This Row],[Net_Revenue]]&gt;=10000,"Medium",TRUE,"Low"))</f>
        <v>High</v>
      </c>
    </row>
    <row r="130" spans="1:27">
      <c r="A130" t="s">
        <v>262</v>
      </c>
      <c r="B130" s="15">
        <v>45748</v>
      </c>
      <c r="C130" s="15">
        <v>45750</v>
      </c>
      <c r="D130" t="s">
        <v>212</v>
      </c>
      <c r="E130" t="s">
        <v>98</v>
      </c>
      <c r="F130" t="s">
        <v>85</v>
      </c>
      <c r="G130" t="s">
        <v>125</v>
      </c>
      <c r="H130" t="s">
        <v>103</v>
      </c>
      <c r="I130" s="17">
        <v>1</v>
      </c>
      <c r="J130" s="16">
        <v>0</v>
      </c>
      <c r="K130" t="s">
        <v>112</v>
      </c>
      <c r="L130" t="s">
        <v>89</v>
      </c>
      <c r="M130" s="17">
        <v>4</v>
      </c>
      <c r="N130" t="str" cm="1">
        <f t="array" ref="N130">_xlfn.XLOOKUP(RawSalesTable5[[#This Row],[Product_Code]],ProductLookupTable[[#All],[Product_Code]],ProductLookupTable[[#All],[Product_Name]],"NOT FOUND")</f>
        <v>Ergonomic Chair</v>
      </c>
      <c r="O130" t="str" cm="1">
        <f t="array" ref="O130">_xlfn.XLOOKUP(RawSalesTable5[[#This Row],[Product_Code]],ProductLookupTable[[#All],[Product_Code]],ProductLookupTable[[#All],[Category]],"NOT FOUND")</f>
        <v>Furniture</v>
      </c>
      <c r="P130" cm="1">
        <f t="array" ref="P130">_xlfn.XLOOKUP(RawSalesTable5[[#This Row],[Product_Code]],ProductLookupTable[[#All],[Product_Code]],ProductLookupTable[[#All],[Unit_Price]],"NOT FOUND")</f>
        <v>10499</v>
      </c>
      <c r="Q130" t="str">
        <f>IF(COUNTIF(ProductLookupTable[Product_Code],RawSalesTable5[[#This Row],[Product_Code]])=0,"Missing Product","OK")</f>
        <v>OK</v>
      </c>
      <c r="R130" cm="1">
        <f t="array" ref="R130">_xlfn.XLOOKUP(RawSalesTable5[[#This Row],[Product_Code]],ProductLookupTable[[#All],[Product_Code]],ProductLookupTable[[#All],[Unit_Cost]],"NOT FOUND")</f>
        <v>7600</v>
      </c>
      <c r="S130">
        <f>IFERROR(RawSalesTable5[[#This Row],[Quantity]]*RawSalesTable5[[#This Row],[Unit_Price]],"NOT FOUND")</f>
        <v>10499</v>
      </c>
      <c r="T130">
        <f>IFERROR(RawSalesTable5[[#This Row],[Gross_Revenue]]*RawSalesTable5[[#This Row],[Discount_Pct]],"NOT FOUND")</f>
        <v>0</v>
      </c>
      <c r="U130">
        <f>IFERROR(RawSalesTable5[[#This Row],[Gross_Revenue]]-RawSalesTable5[[#This Row],[Discount_Value]],"NOT FOUND")</f>
        <v>10499</v>
      </c>
      <c r="V130">
        <f>IFERROR(RawSalesTable5[[#This Row],[Quantity]]*RawSalesTable5[[#This Row],[Unit_Cost]],"NOT FOUND")</f>
        <v>7600</v>
      </c>
      <c r="W130">
        <f>IFERROR(RawSalesTable5[[#This Row],[Net_Revenue]]-RawSalesTable5[[#This Row],[Cost]],"NOT FOUND")</f>
        <v>2899</v>
      </c>
      <c r="X130" s="27">
        <f>IF(RawSalesTable5[[#This Row],[Lookup_Status]]="Missing Product","",IFERROR(RawSalesTable5[[#This Row],[Profit]]/RawSalesTable5[[#This Row],[Net_Revenue]],0))</f>
        <v>0.27612153538432233</v>
      </c>
      <c r="Y130">
        <f>RawSalesTable5[[#This Row],[Ship_Date]]-RawSalesTable5[[#This Row],[Order_Date]]</f>
        <v>2</v>
      </c>
      <c r="Z130" s="28">
        <f>DATE(YEAR(RawSalesTable5[[#This Row],[Order_Date]]),MONTH(RawSalesTable5[[#This Row],[Order_Date]]),1)</f>
        <v>45748</v>
      </c>
      <c r="AA130" t="str" cm="1">
        <f t="array" ref="AA130">IF(RawSalesTable5[[#This Row],[Lookup_Status]]="Missing Product","",_xlfn.IFS(RawSalesTable5[[#This Row],[Net_Revenue]]&gt;=20000,"High",RawSalesTable5[[#This Row],[Net_Revenue]]&gt;=10000,"Medium",TRUE,"Low"))</f>
        <v>Medium</v>
      </c>
    </row>
    <row r="131" spans="1:27">
      <c r="A131" t="s">
        <v>263</v>
      </c>
      <c r="B131" s="15">
        <v>45907</v>
      </c>
      <c r="C131" s="15">
        <v>45911</v>
      </c>
      <c r="D131" t="s">
        <v>123</v>
      </c>
      <c r="E131" t="s">
        <v>101</v>
      </c>
      <c r="F131" t="s">
        <v>121</v>
      </c>
      <c r="G131" t="s">
        <v>108</v>
      </c>
      <c r="H131" t="s">
        <v>103</v>
      </c>
      <c r="I131" s="17">
        <v>3</v>
      </c>
      <c r="J131" s="16">
        <v>0.1</v>
      </c>
      <c r="K131" t="s">
        <v>140</v>
      </c>
      <c r="L131" t="s">
        <v>89</v>
      </c>
      <c r="M131" s="17">
        <v>4</v>
      </c>
      <c r="N131" t="str" cm="1">
        <f t="array" ref="N131">_xlfn.XLOOKUP(RawSalesTable5[[#This Row],[Product_Code]],ProductLookupTable[[#All],[Product_Code]],ProductLookupTable[[#All],[Product_Name]],"NOT FOUND")</f>
        <v>HD Webcam</v>
      </c>
      <c r="O131" t="str" cm="1">
        <f t="array" ref="O131">_xlfn.XLOOKUP(RawSalesTable5[[#This Row],[Product_Code]],ProductLookupTable[[#All],[Product_Code]],ProductLookupTable[[#All],[Category]],"NOT FOUND")</f>
        <v>Accessories</v>
      </c>
      <c r="P131" cm="1">
        <f t="array" ref="P131">_xlfn.XLOOKUP(RawSalesTable5[[#This Row],[Product_Code]],ProductLookupTable[[#All],[Product_Code]],ProductLookupTable[[#All],[Unit_Price]],"NOT FOUND")</f>
        <v>2899</v>
      </c>
      <c r="Q131" t="str">
        <f>IF(COUNTIF(ProductLookupTable[Product_Code],RawSalesTable5[[#This Row],[Product_Code]])=0,"Missing Product","OK")</f>
        <v>OK</v>
      </c>
      <c r="R131" cm="1">
        <f t="array" ref="R131">_xlfn.XLOOKUP(RawSalesTable5[[#This Row],[Product_Code]],ProductLookupTable[[#All],[Product_Code]],ProductLookupTable[[#All],[Unit_Cost]],"NOT FOUND")</f>
        <v>1700</v>
      </c>
      <c r="S131">
        <f>IFERROR(RawSalesTable5[[#This Row],[Quantity]]*RawSalesTable5[[#This Row],[Unit_Price]],"NOT FOUND")</f>
        <v>8697</v>
      </c>
      <c r="T131">
        <f>IFERROR(RawSalesTable5[[#This Row],[Gross_Revenue]]*RawSalesTable5[[#This Row],[Discount_Pct]],"NOT FOUND")</f>
        <v>869.7</v>
      </c>
      <c r="U131">
        <f>IFERROR(RawSalesTable5[[#This Row],[Gross_Revenue]]-RawSalesTable5[[#This Row],[Discount_Value]],"NOT FOUND")</f>
        <v>7827.3</v>
      </c>
      <c r="V131">
        <f>IFERROR(RawSalesTable5[[#This Row],[Quantity]]*RawSalesTable5[[#This Row],[Unit_Cost]],"NOT FOUND")</f>
        <v>5100</v>
      </c>
      <c r="W131">
        <f>IFERROR(RawSalesTable5[[#This Row],[Net_Revenue]]-RawSalesTable5[[#This Row],[Cost]],"NOT FOUND")</f>
        <v>2727.3</v>
      </c>
      <c r="X131" s="27">
        <f>IF(RawSalesTable5[[#This Row],[Lookup_Status]]="Missing Product","",IFERROR(RawSalesTable5[[#This Row],[Profit]]/RawSalesTable5[[#This Row],[Net_Revenue]],0))</f>
        <v>0.34843432601280139</v>
      </c>
      <c r="Y131">
        <f>RawSalesTable5[[#This Row],[Ship_Date]]-RawSalesTable5[[#This Row],[Order_Date]]</f>
        <v>4</v>
      </c>
      <c r="Z131" s="28">
        <f>DATE(YEAR(RawSalesTable5[[#This Row],[Order_Date]]),MONTH(RawSalesTable5[[#This Row],[Order_Date]]),1)</f>
        <v>45901</v>
      </c>
      <c r="AA131" t="str" cm="1">
        <f t="array" ref="AA131">IF(RawSalesTable5[[#This Row],[Lookup_Status]]="Missing Product","",_xlfn.IFS(RawSalesTable5[[#This Row],[Net_Revenue]]&gt;=20000,"High",RawSalesTable5[[#This Row],[Net_Revenue]]&gt;=10000,"Medium",TRUE,"Low"))</f>
        <v>Low</v>
      </c>
    </row>
    <row r="132" spans="1:27">
      <c r="A132" t="s">
        <v>264</v>
      </c>
      <c r="B132" s="15">
        <v>45956</v>
      </c>
      <c r="C132" s="15">
        <v>45958</v>
      </c>
      <c r="D132" t="s">
        <v>83</v>
      </c>
      <c r="E132" t="s">
        <v>106</v>
      </c>
      <c r="F132" t="s">
        <v>107</v>
      </c>
      <c r="G132" t="s">
        <v>86</v>
      </c>
      <c r="H132" t="s">
        <v>87</v>
      </c>
      <c r="I132" s="17">
        <v>5</v>
      </c>
      <c r="J132" s="16">
        <v>0.2</v>
      </c>
      <c r="K132" t="s">
        <v>88</v>
      </c>
      <c r="L132" t="s">
        <v>89</v>
      </c>
      <c r="M132" s="17">
        <v>5</v>
      </c>
      <c r="N132" t="str" cm="1">
        <f t="array" ref="N132">_xlfn.XLOOKUP(RawSalesTable5[[#This Row],[Product_Code]],ProductLookupTable[[#All],[Product_Code]],ProductLookupTable[[#All],[Product_Name]],"NOT FOUND")</f>
        <v>Bluetooth Speaker</v>
      </c>
      <c r="O132" t="str" cm="1">
        <f t="array" ref="O132">_xlfn.XLOOKUP(RawSalesTable5[[#This Row],[Product_Code]],ProductLookupTable[[#All],[Product_Code]],ProductLookupTable[[#All],[Category]],"NOT FOUND")</f>
        <v>Audio</v>
      </c>
      <c r="P132" cm="1">
        <f t="array" ref="P132">_xlfn.XLOOKUP(RawSalesTable5[[#This Row],[Product_Code]],ProductLookupTable[[#All],[Product_Code]],ProductLookupTable[[#All],[Unit_Price]],"NOT FOUND")</f>
        <v>2799</v>
      </c>
      <c r="Q132" t="str">
        <f>IF(COUNTIF(ProductLookupTable[Product_Code],RawSalesTable5[[#This Row],[Product_Code]])=0,"Missing Product","OK")</f>
        <v>OK</v>
      </c>
      <c r="R132" cm="1">
        <f t="array" ref="R132">_xlfn.XLOOKUP(RawSalesTable5[[#This Row],[Product_Code]],ProductLookupTable[[#All],[Product_Code]],ProductLookupTable[[#All],[Unit_Cost]],"NOT FOUND")</f>
        <v>1650</v>
      </c>
      <c r="S132">
        <f>IFERROR(RawSalesTable5[[#This Row],[Quantity]]*RawSalesTable5[[#This Row],[Unit_Price]],"NOT FOUND")</f>
        <v>13995</v>
      </c>
      <c r="T132">
        <f>IFERROR(RawSalesTable5[[#This Row],[Gross_Revenue]]*RawSalesTable5[[#This Row],[Discount_Pct]],"NOT FOUND")</f>
        <v>2799</v>
      </c>
      <c r="U132">
        <f>IFERROR(RawSalesTable5[[#This Row],[Gross_Revenue]]-RawSalesTable5[[#This Row],[Discount_Value]],"NOT FOUND")</f>
        <v>11196</v>
      </c>
      <c r="V132">
        <f>IFERROR(RawSalesTable5[[#This Row],[Quantity]]*RawSalesTable5[[#This Row],[Unit_Cost]],"NOT FOUND")</f>
        <v>8250</v>
      </c>
      <c r="W132">
        <f>IFERROR(RawSalesTable5[[#This Row],[Net_Revenue]]-RawSalesTable5[[#This Row],[Cost]],"NOT FOUND")</f>
        <v>2946</v>
      </c>
      <c r="X132" s="27">
        <f>IF(RawSalesTable5[[#This Row],[Lookup_Status]]="Missing Product","",IFERROR(RawSalesTable5[[#This Row],[Profit]]/RawSalesTable5[[#This Row],[Net_Revenue]],0))</f>
        <v>0.26312968917470525</v>
      </c>
      <c r="Y132">
        <f>RawSalesTable5[[#This Row],[Ship_Date]]-RawSalesTable5[[#This Row],[Order_Date]]</f>
        <v>2</v>
      </c>
      <c r="Z132" s="28">
        <f>DATE(YEAR(RawSalesTable5[[#This Row],[Order_Date]]),MONTH(RawSalesTable5[[#This Row],[Order_Date]]),1)</f>
        <v>45931</v>
      </c>
      <c r="AA132" t="str" cm="1">
        <f t="array" ref="AA132">IF(RawSalesTable5[[#This Row],[Lookup_Status]]="Missing Product","",_xlfn.IFS(RawSalesTable5[[#This Row],[Net_Revenue]]&gt;=20000,"High",RawSalesTable5[[#This Row],[Net_Revenue]]&gt;=10000,"Medium",TRUE,"Low"))</f>
        <v>Medium</v>
      </c>
    </row>
    <row r="133" spans="1:27">
      <c r="A133" t="s">
        <v>265</v>
      </c>
      <c r="B133" s="15">
        <v>45707</v>
      </c>
      <c r="C133" s="15">
        <v>45713</v>
      </c>
      <c r="D133" t="s">
        <v>114</v>
      </c>
      <c r="E133" t="s">
        <v>111</v>
      </c>
      <c r="F133" t="s">
        <v>149</v>
      </c>
      <c r="G133" t="s">
        <v>86</v>
      </c>
      <c r="H133" t="s">
        <v>87</v>
      </c>
      <c r="I133" s="17">
        <v>5</v>
      </c>
      <c r="J133" s="16">
        <v>0.1</v>
      </c>
      <c r="K133" t="s">
        <v>95</v>
      </c>
      <c r="L133" t="s">
        <v>126</v>
      </c>
      <c r="M133" s="17">
        <v>2</v>
      </c>
      <c r="N133" t="str" cm="1">
        <f t="array" ref="N133">_xlfn.XLOOKUP(RawSalesTable5[[#This Row],[Product_Code]],ProductLookupTable[[#All],[Product_Code]],ProductLookupTable[[#All],[Product_Name]],"NOT FOUND")</f>
        <v>Portable HDD 2TB</v>
      </c>
      <c r="O133" t="str" cm="1">
        <f t="array" ref="O133">_xlfn.XLOOKUP(RawSalesTable5[[#This Row],[Product_Code]],ProductLookupTable[[#All],[Product_Code]],ProductLookupTable[[#All],[Category]],"NOT FOUND")</f>
        <v>Storage</v>
      </c>
      <c r="P133" cm="1">
        <f t="array" ref="P133">_xlfn.XLOOKUP(RawSalesTable5[[#This Row],[Product_Code]],ProductLookupTable[[#All],[Product_Code]],ProductLookupTable[[#All],[Unit_Price]],"NOT FOUND")</f>
        <v>5899</v>
      </c>
      <c r="Q133" t="str">
        <f>IF(COUNTIF(ProductLookupTable[Product_Code],RawSalesTable5[[#This Row],[Product_Code]])=0,"Missing Product","OK")</f>
        <v>OK</v>
      </c>
      <c r="R133" cm="1">
        <f t="array" ref="R133">_xlfn.XLOOKUP(RawSalesTable5[[#This Row],[Product_Code]],ProductLookupTable[[#All],[Product_Code]],ProductLookupTable[[#All],[Unit_Cost]],"NOT FOUND")</f>
        <v>4100</v>
      </c>
      <c r="S133">
        <f>IFERROR(RawSalesTable5[[#This Row],[Quantity]]*RawSalesTable5[[#This Row],[Unit_Price]],"NOT FOUND")</f>
        <v>29495</v>
      </c>
      <c r="T133">
        <f>IFERROR(RawSalesTable5[[#This Row],[Gross_Revenue]]*RawSalesTable5[[#This Row],[Discount_Pct]],"NOT FOUND")</f>
        <v>2949.5</v>
      </c>
      <c r="U133">
        <f>IFERROR(RawSalesTable5[[#This Row],[Gross_Revenue]]-RawSalesTable5[[#This Row],[Discount_Value]],"NOT FOUND")</f>
        <v>26545.5</v>
      </c>
      <c r="V133">
        <f>IFERROR(RawSalesTable5[[#This Row],[Quantity]]*RawSalesTable5[[#This Row],[Unit_Cost]],"NOT FOUND")</f>
        <v>20500</v>
      </c>
      <c r="W133">
        <f>IFERROR(RawSalesTable5[[#This Row],[Net_Revenue]]-RawSalesTable5[[#This Row],[Cost]],"NOT FOUND")</f>
        <v>6045.5</v>
      </c>
      <c r="X133" s="27">
        <f>IF(RawSalesTable5[[#This Row],[Lookup_Status]]="Missing Product","",IFERROR(RawSalesTable5[[#This Row],[Profit]]/RawSalesTable5[[#This Row],[Net_Revenue]],0))</f>
        <v>0.22774104838861578</v>
      </c>
      <c r="Y133">
        <f>RawSalesTable5[[#This Row],[Ship_Date]]-RawSalesTable5[[#This Row],[Order_Date]]</f>
        <v>6</v>
      </c>
      <c r="Z133" s="28">
        <f>DATE(YEAR(RawSalesTable5[[#This Row],[Order_Date]]),MONTH(RawSalesTable5[[#This Row],[Order_Date]]),1)</f>
        <v>45689</v>
      </c>
      <c r="AA133" t="str" cm="1">
        <f t="array" ref="AA133">IF(RawSalesTable5[[#This Row],[Lookup_Status]]="Missing Product","",_xlfn.IFS(RawSalesTable5[[#This Row],[Net_Revenue]]&gt;=20000,"High",RawSalesTable5[[#This Row],[Net_Revenue]]&gt;=10000,"Medium",TRUE,"Low"))</f>
        <v>High</v>
      </c>
    </row>
    <row r="134" spans="1:27">
      <c r="A134" t="s">
        <v>266</v>
      </c>
      <c r="B134" s="15">
        <v>45918</v>
      </c>
      <c r="C134" s="15">
        <v>45924</v>
      </c>
      <c r="D134" t="s">
        <v>157</v>
      </c>
      <c r="E134" t="s">
        <v>84</v>
      </c>
      <c r="F134" t="s">
        <v>85</v>
      </c>
      <c r="G134" t="s">
        <v>86</v>
      </c>
      <c r="H134" t="s">
        <v>87</v>
      </c>
      <c r="I134" s="17">
        <v>1</v>
      </c>
      <c r="J134" s="16">
        <v>0.1</v>
      </c>
      <c r="K134" t="s">
        <v>112</v>
      </c>
      <c r="L134" t="s">
        <v>89</v>
      </c>
      <c r="M134" s="17">
        <v>3</v>
      </c>
      <c r="N134" t="str" cm="1">
        <f t="array" ref="N134">_xlfn.XLOOKUP(RawSalesTable5[[#This Row],[Product_Code]],ProductLookupTable[[#All],[Product_Code]],ProductLookupTable[[#All],[Product_Name]],"NOT FOUND")</f>
        <v>Ergonomic Chair</v>
      </c>
      <c r="O134" t="str" cm="1">
        <f t="array" ref="O134">_xlfn.XLOOKUP(RawSalesTable5[[#This Row],[Product_Code]],ProductLookupTable[[#All],[Product_Code]],ProductLookupTable[[#All],[Category]],"NOT FOUND")</f>
        <v>Furniture</v>
      </c>
      <c r="P134" cm="1">
        <f t="array" ref="P134">_xlfn.XLOOKUP(RawSalesTable5[[#This Row],[Product_Code]],ProductLookupTable[[#All],[Product_Code]],ProductLookupTable[[#All],[Unit_Price]],"NOT FOUND")</f>
        <v>10499</v>
      </c>
      <c r="Q134" t="str">
        <f>IF(COUNTIF(ProductLookupTable[Product_Code],RawSalesTable5[[#This Row],[Product_Code]])=0,"Missing Product","OK")</f>
        <v>OK</v>
      </c>
      <c r="R134" cm="1">
        <f t="array" ref="R134">_xlfn.XLOOKUP(RawSalesTable5[[#This Row],[Product_Code]],ProductLookupTable[[#All],[Product_Code]],ProductLookupTable[[#All],[Unit_Cost]],"NOT FOUND")</f>
        <v>7600</v>
      </c>
      <c r="S134">
        <f>IFERROR(RawSalesTable5[[#This Row],[Quantity]]*RawSalesTable5[[#This Row],[Unit_Price]],"NOT FOUND")</f>
        <v>10499</v>
      </c>
      <c r="T134">
        <f>IFERROR(RawSalesTable5[[#This Row],[Gross_Revenue]]*RawSalesTable5[[#This Row],[Discount_Pct]],"NOT FOUND")</f>
        <v>1049.9000000000001</v>
      </c>
      <c r="U134">
        <f>IFERROR(RawSalesTable5[[#This Row],[Gross_Revenue]]-RawSalesTable5[[#This Row],[Discount_Value]],"NOT FOUND")</f>
        <v>9449.1</v>
      </c>
      <c r="V134">
        <f>IFERROR(RawSalesTable5[[#This Row],[Quantity]]*RawSalesTable5[[#This Row],[Unit_Cost]],"NOT FOUND")</f>
        <v>7600</v>
      </c>
      <c r="W134">
        <f>IFERROR(RawSalesTable5[[#This Row],[Net_Revenue]]-RawSalesTable5[[#This Row],[Cost]],"NOT FOUND")</f>
        <v>1849.1000000000004</v>
      </c>
      <c r="X134" s="27">
        <f>IF(RawSalesTable5[[#This Row],[Lookup_Status]]="Missing Product","",IFERROR(RawSalesTable5[[#This Row],[Profit]]/RawSalesTable5[[#This Row],[Net_Revenue]],0))</f>
        <v>0.19569059487146928</v>
      </c>
      <c r="Y134">
        <f>RawSalesTable5[[#This Row],[Ship_Date]]-RawSalesTable5[[#This Row],[Order_Date]]</f>
        <v>6</v>
      </c>
      <c r="Z134" s="28">
        <f>DATE(YEAR(RawSalesTable5[[#This Row],[Order_Date]]),MONTH(RawSalesTable5[[#This Row],[Order_Date]]),1)</f>
        <v>45901</v>
      </c>
      <c r="AA134" t="str" cm="1">
        <f t="array" ref="AA134">IF(RawSalesTable5[[#This Row],[Lookup_Status]]="Missing Product","",_xlfn.IFS(RawSalesTable5[[#This Row],[Net_Revenue]]&gt;=20000,"High",RawSalesTable5[[#This Row],[Net_Revenue]]&gt;=10000,"Medium",TRUE,"Low"))</f>
        <v>Low</v>
      </c>
    </row>
    <row r="135" spans="1:27">
      <c r="A135" t="s">
        <v>267</v>
      </c>
      <c r="B135" s="15">
        <v>45791</v>
      </c>
      <c r="C135" s="15">
        <v>45799</v>
      </c>
      <c r="D135" t="s">
        <v>212</v>
      </c>
      <c r="E135" t="s">
        <v>92</v>
      </c>
      <c r="F135" t="s">
        <v>124</v>
      </c>
      <c r="G135" t="s">
        <v>125</v>
      </c>
      <c r="H135" t="s">
        <v>103</v>
      </c>
      <c r="I135" s="17">
        <v>2</v>
      </c>
      <c r="J135" s="16">
        <v>0.05</v>
      </c>
      <c r="K135" t="s">
        <v>112</v>
      </c>
      <c r="L135" t="s">
        <v>89</v>
      </c>
      <c r="M135" s="17">
        <v>3</v>
      </c>
      <c r="N135" t="str" cm="1">
        <f t="array" ref="N135">_xlfn.XLOOKUP(RawSalesTable5[[#This Row],[Product_Code]],ProductLookupTable[[#All],[Product_Code]],ProductLookupTable[[#All],[Product_Name]],"NOT FOUND")</f>
        <v>Wireless Mouse</v>
      </c>
      <c r="O135" t="str" cm="1">
        <f t="array" ref="O135">_xlfn.XLOOKUP(RawSalesTable5[[#This Row],[Product_Code]],ProductLookupTable[[#All],[Product_Code]],ProductLookupTable[[#All],[Category]],"NOT FOUND")</f>
        <v>Accessories</v>
      </c>
      <c r="P135" cm="1">
        <f t="array" ref="P135">_xlfn.XLOOKUP(RawSalesTable5[[#This Row],[Product_Code]],ProductLookupTable[[#All],[Product_Code]],ProductLookupTable[[#All],[Unit_Price]],"NOT FOUND")</f>
        <v>799</v>
      </c>
      <c r="Q135" t="str">
        <f>IF(COUNTIF(ProductLookupTable[Product_Code],RawSalesTable5[[#This Row],[Product_Code]])=0,"Missing Product","OK")</f>
        <v>OK</v>
      </c>
      <c r="R135" cm="1">
        <f t="array" ref="R135">_xlfn.XLOOKUP(RawSalesTable5[[#This Row],[Product_Code]],ProductLookupTable[[#All],[Product_Code]],ProductLookupTable[[#All],[Unit_Cost]],"NOT FOUND")</f>
        <v>420</v>
      </c>
      <c r="S135">
        <f>IFERROR(RawSalesTable5[[#This Row],[Quantity]]*RawSalesTable5[[#This Row],[Unit_Price]],"NOT FOUND")</f>
        <v>1598</v>
      </c>
      <c r="T135">
        <f>IFERROR(RawSalesTable5[[#This Row],[Gross_Revenue]]*RawSalesTable5[[#This Row],[Discount_Pct]],"NOT FOUND")</f>
        <v>79.900000000000006</v>
      </c>
      <c r="U135">
        <f>IFERROR(RawSalesTable5[[#This Row],[Gross_Revenue]]-RawSalesTable5[[#This Row],[Discount_Value]],"NOT FOUND")</f>
        <v>1518.1</v>
      </c>
      <c r="V135">
        <f>IFERROR(RawSalesTable5[[#This Row],[Quantity]]*RawSalesTable5[[#This Row],[Unit_Cost]],"NOT FOUND")</f>
        <v>840</v>
      </c>
      <c r="W135">
        <f>IFERROR(RawSalesTable5[[#This Row],[Net_Revenue]]-RawSalesTable5[[#This Row],[Cost]],"NOT FOUND")</f>
        <v>678.09999999999991</v>
      </c>
      <c r="X135" s="27">
        <f>IF(RawSalesTable5[[#This Row],[Lookup_Status]]="Missing Product","",IFERROR(RawSalesTable5[[#This Row],[Profit]]/RawSalesTable5[[#This Row],[Net_Revenue]],0))</f>
        <v>0.4466767670113958</v>
      </c>
      <c r="Y135">
        <f>RawSalesTable5[[#This Row],[Ship_Date]]-RawSalesTable5[[#This Row],[Order_Date]]</f>
        <v>8</v>
      </c>
      <c r="Z135" s="28">
        <f>DATE(YEAR(RawSalesTable5[[#This Row],[Order_Date]]),MONTH(RawSalesTable5[[#This Row],[Order_Date]]),1)</f>
        <v>45778</v>
      </c>
      <c r="AA135" t="str" cm="1">
        <f t="array" ref="AA135">IF(RawSalesTable5[[#This Row],[Lookup_Status]]="Missing Product","",_xlfn.IFS(RawSalesTable5[[#This Row],[Net_Revenue]]&gt;=20000,"High",RawSalesTable5[[#This Row],[Net_Revenue]]&gt;=10000,"Medium",TRUE,"Low"))</f>
        <v>Low</v>
      </c>
    </row>
    <row r="136" spans="1:27">
      <c r="A136" t="s">
        <v>268</v>
      </c>
      <c r="B136" s="15">
        <v>45677</v>
      </c>
      <c r="C136" s="15">
        <v>45682</v>
      </c>
      <c r="D136" t="s">
        <v>123</v>
      </c>
      <c r="E136" t="s">
        <v>98</v>
      </c>
      <c r="F136" t="s">
        <v>138</v>
      </c>
      <c r="G136" t="s">
        <v>94</v>
      </c>
      <c r="H136" t="s">
        <v>103</v>
      </c>
      <c r="I136" s="17">
        <v>4</v>
      </c>
      <c r="J136" s="16">
        <v>0.05</v>
      </c>
      <c r="K136" t="s">
        <v>88</v>
      </c>
      <c r="L136" t="s">
        <v>89</v>
      </c>
      <c r="M136" s="17">
        <v>4</v>
      </c>
      <c r="N136" t="str" cm="1">
        <f t="array" ref="N136">_xlfn.XLOOKUP(RawSalesTable5[[#This Row],[Product_Code]],ProductLookupTable[[#All],[Product_Code]],ProductLookupTable[[#All],[Product_Name]],"NOT FOUND")</f>
        <v>24-inch Monitor</v>
      </c>
      <c r="O136" t="str" cm="1">
        <f t="array" ref="O136">_xlfn.XLOOKUP(RawSalesTable5[[#This Row],[Product_Code]],ProductLookupTable[[#All],[Product_Code]],ProductLookupTable[[#All],[Category]],"NOT FOUND")</f>
        <v>Displays</v>
      </c>
      <c r="P136" cm="1">
        <f t="array" ref="P136">_xlfn.XLOOKUP(RawSalesTable5[[#This Row],[Product_Code]],ProductLookupTable[[#All],[Product_Code]],ProductLookupTable[[#All],[Unit_Price]],"NOT FOUND")</f>
        <v>12999</v>
      </c>
      <c r="Q136" t="str">
        <f>IF(COUNTIF(ProductLookupTable[Product_Code],RawSalesTable5[[#This Row],[Product_Code]])=0,"Missing Product","OK")</f>
        <v>OK</v>
      </c>
      <c r="R136" cm="1">
        <f t="array" ref="R136">_xlfn.XLOOKUP(RawSalesTable5[[#This Row],[Product_Code]],ProductLookupTable[[#All],[Product_Code]],ProductLookupTable[[#All],[Unit_Cost]],"NOT FOUND")</f>
        <v>9100</v>
      </c>
      <c r="S136">
        <f>IFERROR(RawSalesTable5[[#This Row],[Quantity]]*RawSalesTable5[[#This Row],[Unit_Price]],"NOT FOUND")</f>
        <v>51996</v>
      </c>
      <c r="T136">
        <f>IFERROR(RawSalesTable5[[#This Row],[Gross_Revenue]]*RawSalesTable5[[#This Row],[Discount_Pct]],"NOT FOUND")</f>
        <v>2599.8000000000002</v>
      </c>
      <c r="U136">
        <f>IFERROR(RawSalesTable5[[#This Row],[Gross_Revenue]]-RawSalesTable5[[#This Row],[Discount_Value]],"NOT FOUND")</f>
        <v>49396.2</v>
      </c>
      <c r="V136">
        <f>IFERROR(RawSalesTable5[[#This Row],[Quantity]]*RawSalesTable5[[#This Row],[Unit_Cost]],"NOT FOUND")</f>
        <v>36400</v>
      </c>
      <c r="W136">
        <f>IFERROR(RawSalesTable5[[#This Row],[Net_Revenue]]-RawSalesTable5[[#This Row],[Cost]],"NOT FOUND")</f>
        <v>12996.199999999997</v>
      </c>
      <c r="X136" s="27">
        <f>IF(RawSalesTable5[[#This Row],[Lookup_Status]]="Missing Product","",IFERROR(RawSalesTable5[[#This Row],[Profit]]/RawSalesTable5[[#This Row],[Net_Revenue]],0))</f>
        <v>0.26310121021455085</v>
      </c>
      <c r="Y136">
        <f>RawSalesTable5[[#This Row],[Ship_Date]]-RawSalesTable5[[#This Row],[Order_Date]]</f>
        <v>5</v>
      </c>
      <c r="Z136" s="28">
        <f>DATE(YEAR(RawSalesTable5[[#This Row],[Order_Date]]),MONTH(RawSalesTable5[[#This Row],[Order_Date]]),1)</f>
        <v>45658</v>
      </c>
      <c r="AA136" t="str" cm="1">
        <f t="array" ref="AA136">IF(RawSalesTable5[[#This Row],[Lookup_Status]]="Missing Product","",_xlfn.IFS(RawSalesTable5[[#This Row],[Net_Revenue]]&gt;=20000,"High",RawSalesTable5[[#This Row],[Net_Revenue]]&gt;=10000,"Medium",TRUE,"Low"))</f>
        <v>High</v>
      </c>
    </row>
    <row r="137" spans="1:27">
      <c r="A137" t="s">
        <v>269</v>
      </c>
      <c r="B137" s="15">
        <v>45935</v>
      </c>
      <c r="C137" s="15">
        <v>45939</v>
      </c>
      <c r="D137" t="s">
        <v>83</v>
      </c>
      <c r="E137" t="s">
        <v>101</v>
      </c>
      <c r="F137" t="s">
        <v>115</v>
      </c>
      <c r="G137" t="s">
        <v>108</v>
      </c>
      <c r="H137" t="s">
        <v>87</v>
      </c>
      <c r="I137" s="17">
        <v>1</v>
      </c>
      <c r="J137" s="16">
        <v>0</v>
      </c>
      <c r="K137" t="s">
        <v>140</v>
      </c>
      <c r="L137" t="s">
        <v>89</v>
      </c>
      <c r="M137" s="17">
        <v>4</v>
      </c>
      <c r="N137" t="str" cm="1">
        <f t="array" ref="N137">_xlfn.XLOOKUP(RawSalesTable5[[#This Row],[Product_Code]],ProductLookupTable[[#All],[Product_Code]],ProductLookupTable[[#All],[Product_Name]],"NOT FOUND")</f>
        <v>USB-C Hub</v>
      </c>
      <c r="O137" t="str" cm="1">
        <f t="array" ref="O137">_xlfn.XLOOKUP(RawSalesTable5[[#This Row],[Product_Code]],ProductLookupTable[[#All],[Product_Code]],ProductLookupTable[[#All],[Category]],"NOT FOUND")</f>
        <v>Accessories</v>
      </c>
      <c r="P137" cm="1">
        <f t="array" ref="P137">_xlfn.XLOOKUP(RawSalesTable5[[#This Row],[Product_Code]],ProductLookupTable[[#All],[Product_Code]],ProductLookupTable[[#All],[Unit_Price]],"NOT FOUND")</f>
        <v>1599</v>
      </c>
      <c r="Q137" t="str">
        <f>IF(COUNTIF(ProductLookupTable[Product_Code],RawSalesTable5[[#This Row],[Product_Code]])=0,"Missing Product","OK")</f>
        <v>OK</v>
      </c>
      <c r="R137" cm="1">
        <f t="array" ref="R137">_xlfn.XLOOKUP(RawSalesTable5[[#This Row],[Product_Code]],ProductLookupTable[[#All],[Product_Code]],ProductLookupTable[[#All],[Unit_Cost]],"NOT FOUND")</f>
        <v>870</v>
      </c>
      <c r="S137">
        <f>IFERROR(RawSalesTable5[[#This Row],[Quantity]]*RawSalesTable5[[#This Row],[Unit_Price]],"NOT FOUND")</f>
        <v>1599</v>
      </c>
      <c r="T137">
        <f>IFERROR(RawSalesTable5[[#This Row],[Gross_Revenue]]*RawSalesTable5[[#This Row],[Discount_Pct]],"NOT FOUND")</f>
        <v>0</v>
      </c>
      <c r="U137">
        <f>IFERROR(RawSalesTable5[[#This Row],[Gross_Revenue]]-RawSalesTable5[[#This Row],[Discount_Value]],"NOT FOUND")</f>
        <v>1599</v>
      </c>
      <c r="V137">
        <f>IFERROR(RawSalesTable5[[#This Row],[Quantity]]*RawSalesTable5[[#This Row],[Unit_Cost]],"NOT FOUND")</f>
        <v>870</v>
      </c>
      <c r="W137">
        <f>IFERROR(RawSalesTable5[[#This Row],[Net_Revenue]]-RawSalesTable5[[#This Row],[Cost]],"NOT FOUND")</f>
        <v>729</v>
      </c>
      <c r="X137" s="27">
        <f>IF(RawSalesTable5[[#This Row],[Lookup_Status]]="Missing Product","",IFERROR(RawSalesTable5[[#This Row],[Profit]]/RawSalesTable5[[#This Row],[Net_Revenue]],0))</f>
        <v>0.45590994371482174</v>
      </c>
      <c r="Y137">
        <f>RawSalesTable5[[#This Row],[Ship_Date]]-RawSalesTable5[[#This Row],[Order_Date]]</f>
        <v>4</v>
      </c>
      <c r="Z137" s="28">
        <f>DATE(YEAR(RawSalesTable5[[#This Row],[Order_Date]]),MONTH(RawSalesTable5[[#This Row],[Order_Date]]),1)</f>
        <v>45931</v>
      </c>
      <c r="AA137" t="str" cm="1">
        <f t="array" ref="AA137">IF(RawSalesTable5[[#This Row],[Lookup_Status]]="Missing Product","",_xlfn.IFS(RawSalesTable5[[#This Row],[Net_Revenue]]&gt;=20000,"High",RawSalesTable5[[#This Row],[Net_Revenue]]&gt;=10000,"Medium",TRUE,"Low"))</f>
        <v>Low</v>
      </c>
    </row>
    <row r="138" spans="1:27">
      <c r="A138" t="s">
        <v>270</v>
      </c>
      <c r="B138" s="15">
        <v>45907</v>
      </c>
      <c r="C138" s="15">
        <v>45908</v>
      </c>
      <c r="D138" t="s">
        <v>114</v>
      </c>
      <c r="E138" t="s">
        <v>106</v>
      </c>
      <c r="F138" t="s">
        <v>121</v>
      </c>
      <c r="G138" t="s">
        <v>125</v>
      </c>
      <c r="H138" t="s">
        <v>87</v>
      </c>
      <c r="I138" s="17">
        <v>3</v>
      </c>
      <c r="J138" s="16">
        <v>0</v>
      </c>
      <c r="K138" t="s">
        <v>140</v>
      </c>
      <c r="L138" t="s">
        <v>89</v>
      </c>
      <c r="M138" s="17">
        <v>4</v>
      </c>
      <c r="N138" t="str" cm="1">
        <f t="array" ref="N138">_xlfn.XLOOKUP(RawSalesTable5[[#This Row],[Product_Code]],ProductLookupTable[[#All],[Product_Code]],ProductLookupTable[[#All],[Product_Name]],"NOT FOUND")</f>
        <v>HD Webcam</v>
      </c>
      <c r="O138" t="str" cm="1">
        <f t="array" ref="O138">_xlfn.XLOOKUP(RawSalesTable5[[#This Row],[Product_Code]],ProductLookupTable[[#All],[Product_Code]],ProductLookupTable[[#All],[Category]],"NOT FOUND")</f>
        <v>Accessories</v>
      </c>
      <c r="P138" cm="1">
        <f t="array" ref="P138">_xlfn.XLOOKUP(RawSalesTable5[[#This Row],[Product_Code]],ProductLookupTable[[#All],[Product_Code]],ProductLookupTable[[#All],[Unit_Price]],"NOT FOUND")</f>
        <v>2899</v>
      </c>
      <c r="Q138" t="str">
        <f>IF(COUNTIF(ProductLookupTable[Product_Code],RawSalesTable5[[#This Row],[Product_Code]])=0,"Missing Product","OK")</f>
        <v>OK</v>
      </c>
      <c r="R138" cm="1">
        <f t="array" ref="R138">_xlfn.XLOOKUP(RawSalesTable5[[#This Row],[Product_Code]],ProductLookupTable[[#All],[Product_Code]],ProductLookupTable[[#All],[Unit_Cost]],"NOT FOUND")</f>
        <v>1700</v>
      </c>
      <c r="S138">
        <f>IFERROR(RawSalesTable5[[#This Row],[Quantity]]*RawSalesTable5[[#This Row],[Unit_Price]],"NOT FOUND")</f>
        <v>8697</v>
      </c>
      <c r="T138">
        <f>IFERROR(RawSalesTable5[[#This Row],[Gross_Revenue]]*RawSalesTable5[[#This Row],[Discount_Pct]],"NOT FOUND")</f>
        <v>0</v>
      </c>
      <c r="U138">
        <f>IFERROR(RawSalesTable5[[#This Row],[Gross_Revenue]]-RawSalesTable5[[#This Row],[Discount_Value]],"NOT FOUND")</f>
        <v>8697</v>
      </c>
      <c r="V138">
        <f>IFERROR(RawSalesTable5[[#This Row],[Quantity]]*RawSalesTable5[[#This Row],[Unit_Cost]],"NOT FOUND")</f>
        <v>5100</v>
      </c>
      <c r="W138">
        <f>IFERROR(RawSalesTable5[[#This Row],[Net_Revenue]]-RawSalesTable5[[#This Row],[Cost]],"NOT FOUND")</f>
        <v>3597</v>
      </c>
      <c r="X138" s="27">
        <f>IF(RawSalesTable5[[#This Row],[Lookup_Status]]="Missing Product","",IFERROR(RawSalesTable5[[#This Row],[Profit]]/RawSalesTable5[[#This Row],[Net_Revenue]],0))</f>
        <v>0.41359089341152122</v>
      </c>
      <c r="Y138">
        <f>RawSalesTable5[[#This Row],[Ship_Date]]-RawSalesTable5[[#This Row],[Order_Date]]</f>
        <v>1</v>
      </c>
      <c r="Z138" s="28">
        <f>DATE(YEAR(RawSalesTable5[[#This Row],[Order_Date]]),MONTH(RawSalesTable5[[#This Row],[Order_Date]]),1)</f>
        <v>45901</v>
      </c>
      <c r="AA138" t="str" cm="1">
        <f t="array" ref="AA138">IF(RawSalesTable5[[#This Row],[Lookup_Status]]="Missing Product","",_xlfn.IFS(RawSalesTable5[[#This Row],[Net_Revenue]]&gt;=20000,"High",RawSalesTable5[[#This Row],[Net_Revenue]]&gt;=10000,"Medium",TRUE,"Low"))</f>
        <v>Low</v>
      </c>
    </row>
    <row r="139" spans="1:27">
      <c r="A139" t="s">
        <v>271</v>
      </c>
      <c r="B139" s="15">
        <v>45713</v>
      </c>
      <c r="C139" s="15">
        <v>45716</v>
      </c>
      <c r="D139" t="s">
        <v>157</v>
      </c>
      <c r="E139" t="s">
        <v>111</v>
      </c>
      <c r="F139" t="s">
        <v>147</v>
      </c>
      <c r="G139" t="s">
        <v>94</v>
      </c>
      <c r="H139" t="s">
        <v>87</v>
      </c>
      <c r="I139" s="17">
        <v>1</v>
      </c>
      <c r="J139" s="16">
        <v>0.15</v>
      </c>
      <c r="K139" t="s">
        <v>140</v>
      </c>
      <c r="L139" t="s">
        <v>89</v>
      </c>
      <c r="M139" s="17">
        <v>4</v>
      </c>
      <c r="N139" t="str" cm="1">
        <f t="array" ref="N139">_xlfn.XLOOKUP(RawSalesTable5[[#This Row],[Product_Code]],ProductLookupTable[[#All],[Product_Code]],ProductLookupTable[[#All],[Product_Name]],"NOT FOUND")</f>
        <v>LED Desk Lamp</v>
      </c>
      <c r="O139" t="str" cm="1">
        <f t="array" ref="O139">_xlfn.XLOOKUP(RawSalesTable5[[#This Row],[Product_Code]],ProductLookupTable[[#All],[Product_Code]],ProductLookupTable[[#All],[Category]],"NOT FOUND")</f>
        <v>Furniture</v>
      </c>
      <c r="P139" cm="1">
        <f t="array" ref="P139">_xlfn.XLOOKUP(RawSalesTable5[[#This Row],[Product_Code]],ProductLookupTable[[#All],[Product_Code]],ProductLookupTable[[#All],[Unit_Price]],"NOT FOUND")</f>
        <v>1999</v>
      </c>
      <c r="Q139" t="str">
        <f>IF(COUNTIF(ProductLookupTable[Product_Code],RawSalesTable5[[#This Row],[Product_Code]])=0,"Missing Product","OK")</f>
        <v>OK</v>
      </c>
      <c r="R139" cm="1">
        <f t="array" ref="R139">_xlfn.XLOOKUP(RawSalesTable5[[#This Row],[Product_Code]],ProductLookupTable[[#All],[Product_Code]],ProductLookupTable[[#All],[Unit_Cost]],"NOT FOUND")</f>
        <v>1050</v>
      </c>
      <c r="S139">
        <f>IFERROR(RawSalesTable5[[#This Row],[Quantity]]*RawSalesTable5[[#This Row],[Unit_Price]],"NOT FOUND")</f>
        <v>1999</v>
      </c>
      <c r="T139">
        <f>IFERROR(RawSalesTable5[[#This Row],[Gross_Revenue]]*RawSalesTable5[[#This Row],[Discount_Pct]],"NOT FOUND")</f>
        <v>299.84999999999997</v>
      </c>
      <c r="U139">
        <f>IFERROR(RawSalesTable5[[#This Row],[Gross_Revenue]]-RawSalesTable5[[#This Row],[Discount_Value]],"NOT FOUND")</f>
        <v>1699.15</v>
      </c>
      <c r="V139">
        <f>IFERROR(RawSalesTable5[[#This Row],[Quantity]]*RawSalesTable5[[#This Row],[Unit_Cost]],"NOT FOUND")</f>
        <v>1050</v>
      </c>
      <c r="W139">
        <f>IFERROR(RawSalesTable5[[#This Row],[Net_Revenue]]-RawSalesTable5[[#This Row],[Cost]],"NOT FOUND")</f>
        <v>649.15000000000009</v>
      </c>
      <c r="X139" s="27">
        <f>IF(RawSalesTable5[[#This Row],[Lookup_Status]]="Missing Product","",IFERROR(RawSalesTable5[[#This Row],[Profit]]/RawSalesTable5[[#This Row],[Net_Revenue]],0))</f>
        <v>0.38204396315804967</v>
      </c>
      <c r="Y139">
        <f>RawSalesTable5[[#This Row],[Ship_Date]]-RawSalesTable5[[#This Row],[Order_Date]]</f>
        <v>3</v>
      </c>
      <c r="Z139" s="28">
        <f>DATE(YEAR(RawSalesTable5[[#This Row],[Order_Date]]),MONTH(RawSalesTable5[[#This Row],[Order_Date]]),1)</f>
        <v>45689</v>
      </c>
      <c r="AA139" t="str" cm="1">
        <f t="array" ref="AA139">IF(RawSalesTable5[[#This Row],[Lookup_Status]]="Missing Product","",_xlfn.IFS(RawSalesTable5[[#This Row],[Net_Revenue]]&gt;=20000,"High",RawSalesTable5[[#This Row],[Net_Revenue]]&gt;=10000,"Medium",TRUE,"Low"))</f>
        <v>Low</v>
      </c>
    </row>
    <row r="140" spans="1:27">
      <c r="A140" t="s">
        <v>272</v>
      </c>
      <c r="B140" s="15">
        <v>45919</v>
      </c>
      <c r="C140" s="15">
        <v>45922</v>
      </c>
      <c r="D140" t="s">
        <v>212</v>
      </c>
      <c r="E140" t="s">
        <v>84</v>
      </c>
      <c r="F140" t="s">
        <v>107</v>
      </c>
      <c r="G140" t="s">
        <v>86</v>
      </c>
      <c r="H140" t="s">
        <v>103</v>
      </c>
      <c r="I140" s="17">
        <v>5</v>
      </c>
      <c r="J140" s="16">
        <v>0</v>
      </c>
      <c r="K140" t="s">
        <v>140</v>
      </c>
      <c r="L140" t="s">
        <v>89</v>
      </c>
      <c r="M140" s="17">
        <v>3</v>
      </c>
      <c r="N140" t="str" cm="1">
        <f t="array" ref="N140">_xlfn.XLOOKUP(RawSalesTable5[[#This Row],[Product_Code]],ProductLookupTable[[#All],[Product_Code]],ProductLookupTable[[#All],[Product_Name]],"NOT FOUND")</f>
        <v>Bluetooth Speaker</v>
      </c>
      <c r="O140" t="str" cm="1">
        <f t="array" ref="O140">_xlfn.XLOOKUP(RawSalesTable5[[#This Row],[Product_Code]],ProductLookupTable[[#All],[Product_Code]],ProductLookupTable[[#All],[Category]],"NOT FOUND")</f>
        <v>Audio</v>
      </c>
      <c r="P140" cm="1">
        <f t="array" ref="P140">_xlfn.XLOOKUP(RawSalesTable5[[#This Row],[Product_Code]],ProductLookupTable[[#All],[Product_Code]],ProductLookupTable[[#All],[Unit_Price]],"NOT FOUND")</f>
        <v>2799</v>
      </c>
      <c r="Q140" t="str">
        <f>IF(COUNTIF(ProductLookupTable[Product_Code],RawSalesTable5[[#This Row],[Product_Code]])=0,"Missing Product","OK")</f>
        <v>OK</v>
      </c>
      <c r="R140" cm="1">
        <f t="array" ref="R140">_xlfn.XLOOKUP(RawSalesTable5[[#This Row],[Product_Code]],ProductLookupTable[[#All],[Product_Code]],ProductLookupTable[[#All],[Unit_Cost]],"NOT FOUND")</f>
        <v>1650</v>
      </c>
      <c r="S140">
        <f>IFERROR(RawSalesTable5[[#This Row],[Quantity]]*RawSalesTable5[[#This Row],[Unit_Price]],"NOT FOUND")</f>
        <v>13995</v>
      </c>
      <c r="T140">
        <f>IFERROR(RawSalesTable5[[#This Row],[Gross_Revenue]]*RawSalesTable5[[#This Row],[Discount_Pct]],"NOT FOUND")</f>
        <v>0</v>
      </c>
      <c r="U140">
        <f>IFERROR(RawSalesTable5[[#This Row],[Gross_Revenue]]-RawSalesTable5[[#This Row],[Discount_Value]],"NOT FOUND")</f>
        <v>13995</v>
      </c>
      <c r="V140">
        <f>IFERROR(RawSalesTable5[[#This Row],[Quantity]]*RawSalesTable5[[#This Row],[Unit_Cost]],"NOT FOUND")</f>
        <v>8250</v>
      </c>
      <c r="W140">
        <f>IFERROR(RawSalesTable5[[#This Row],[Net_Revenue]]-RawSalesTable5[[#This Row],[Cost]],"NOT FOUND")</f>
        <v>5745</v>
      </c>
      <c r="X140" s="27">
        <f>IF(RawSalesTable5[[#This Row],[Lookup_Status]]="Missing Product","",IFERROR(RawSalesTable5[[#This Row],[Profit]]/RawSalesTable5[[#This Row],[Net_Revenue]],0))</f>
        <v>0.41050375133976419</v>
      </c>
      <c r="Y140">
        <f>RawSalesTable5[[#This Row],[Ship_Date]]-RawSalesTable5[[#This Row],[Order_Date]]</f>
        <v>3</v>
      </c>
      <c r="Z140" s="28">
        <f>DATE(YEAR(RawSalesTable5[[#This Row],[Order_Date]]),MONTH(RawSalesTable5[[#This Row],[Order_Date]]),1)</f>
        <v>45901</v>
      </c>
      <c r="AA140" t="str" cm="1">
        <f t="array" ref="AA140">IF(RawSalesTable5[[#This Row],[Lookup_Status]]="Missing Product","",_xlfn.IFS(RawSalesTable5[[#This Row],[Net_Revenue]]&gt;=20000,"High",RawSalesTable5[[#This Row],[Net_Revenue]]&gt;=10000,"Medium",TRUE,"Low"))</f>
        <v>Medium</v>
      </c>
    </row>
    <row r="141" spans="1:27">
      <c r="A141" t="s">
        <v>273</v>
      </c>
      <c r="B141" s="15">
        <v>45717</v>
      </c>
      <c r="C141" s="15">
        <v>45723</v>
      </c>
      <c r="D141" t="s">
        <v>123</v>
      </c>
      <c r="E141" t="s">
        <v>92</v>
      </c>
      <c r="F141" t="s">
        <v>85</v>
      </c>
      <c r="G141" t="s">
        <v>108</v>
      </c>
      <c r="H141" t="s">
        <v>87</v>
      </c>
      <c r="I141" s="17">
        <v>3</v>
      </c>
      <c r="J141" s="16">
        <v>0</v>
      </c>
      <c r="K141" t="s">
        <v>95</v>
      </c>
      <c r="L141" t="s">
        <v>89</v>
      </c>
      <c r="M141" s="17">
        <v>4</v>
      </c>
      <c r="N141" t="str" cm="1">
        <f t="array" ref="N141">_xlfn.XLOOKUP(RawSalesTable5[[#This Row],[Product_Code]],ProductLookupTable[[#All],[Product_Code]],ProductLookupTable[[#All],[Product_Name]],"NOT FOUND")</f>
        <v>Ergonomic Chair</v>
      </c>
      <c r="O141" t="str" cm="1">
        <f t="array" ref="O141">_xlfn.XLOOKUP(RawSalesTable5[[#This Row],[Product_Code]],ProductLookupTable[[#All],[Product_Code]],ProductLookupTable[[#All],[Category]],"NOT FOUND")</f>
        <v>Furniture</v>
      </c>
      <c r="P141" cm="1">
        <f t="array" ref="P141">_xlfn.XLOOKUP(RawSalesTable5[[#This Row],[Product_Code]],ProductLookupTable[[#All],[Product_Code]],ProductLookupTable[[#All],[Unit_Price]],"NOT FOUND")</f>
        <v>10499</v>
      </c>
      <c r="Q141" t="str">
        <f>IF(COUNTIF(ProductLookupTable[Product_Code],RawSalesTable5[[#This Row],[Product_Code]])=0,"Missing Product","OK")</f>
        <v>OK</v>
      </c>
      <c r="R141" cm="1">
        <f t="array" ref="R141">_xlfn.XLOOKUP(RawSalesTable5[[#This Row],[Product_Code]],ProductLookupTable[[#All],[Product_Code]],ProductLookupTable[[#All],[Unit_Cost]],"NOT FOUND")</f>
        <v>7600</v>
      </c>
      <c r="S141">
        <f>IFERROR(RawSalesTable5[[#This Row],[Quantity]]*RawSalesTable5[[#This Row],[Unit_Price]],"NOT FOUND")</f>
        <v>31497</v>
      </c>
      <c r="T141">
        <f>IFERROR(RawSalesTable5[[#This Row],[Gross_Revenue]]*RawSalesTable5[[#This Row],[Discount_Pct]],"NOT FOUND")</f>
        <v>0</v>
      </c>
      <c r="U141">
        <f>IFERROR(RawSalesTable5[[#This Row],[Gross_Revenue]]-RawSalesTable5[[#This Row],[Discount_Value]],"NOT FOUND")</f>
        <v>31497</v>
      </c>
      <c r="V141">
        <f>IFERROR(RawSalesTable5[[#This Row],[Quantity]]*RawSalesTable5[[#This Row],[Unit_Cost]],"NOT FOUND")</f>
        <v>22800</v>
      </c>
      <c r="W141">
        <f>IFERROR(RawSalesTable5[[#This Row],[Net_Revenue]]-RawSalesTable5[[#This Row],[Cost]],"NOT FOUND")</f>
        <v>8697</v>
      </c>
      <c r="X141" s="27">
        <f>IF(RawSalesTable5[[#This Row],[Lookup_Status]]="Missing Product","",IFERROR(RawSalesTable5[[#This Row],[Profit]]/RawSalesTable5[[#This Row],[Net_Revenue]],0))</f>
        <v>0.27612153538432233</v>
      </c>
      <c r="Y141">
        <f>RawSalesTable5[[#This Row],[Ship_Date]]-RawSalesTable5[[#This Row],[Order_Date]]</f>
        <v>6</v>
      </c>
      <c r="Z141" s="28">
        <f>DATE(YEAR(RawSalesTable5[[#This Row],[Order_Date]]),MONTH(RawSalesTable5[[#This Row],[Order_Date]]),1)</f>
        <v>45717</v>
      </c>
      <c r="AA141" t="str" cm="1">
        <f t="array" ref="AA141">IF(RawSalesTable5[[#This Row],[Lookup_Status]]="Missing Product","",_xlfn.IFS(RawSalesTable5[[#This Row],[Net_Revenue]]&gt;=20000,"High",RawSalesTable5[[#This Row],[Net_Revenue]]&gt;=10000,"Medium",TRUE,"Low"))</f>
        <v>High</v>
      </c>
    </row>
    <row r="142" spans="1:27">
      <c r="A142" t="s">
        <v>274</v>
      </c>
      <c r="B142" s="15">
        <v>45730</v>
      </c>
      <c r="C142" s="15">
        <v>45734</v>
      </c>
      <c r="D142" t="s">
        <v>83</v>
      </c>
      <c r="E142" t="s">
        <v>98</v>
      </c>
      <c r="F142" t="s">
        <v>93</v>
      </c>
      <c r="G142" t="s">
        <v>94</v>
      </c>
      <c r="H142" t="s">
        <v>87</v>
      </c>
      <c r="I142" s="17">
        <v>2</v>
      </c>
      <c r="J142" s="16">
        <v>0.05</v>
      </c>
      <c r="K142" t="s">
        <v>88</v>
      </c>
      <c r="L142" t="s">
        <v>89</v>
      </c>
      <c r="M142" s="17">
        <v>5</v>
      </c>
      <c r="N142" t="str" cm="1">
        <f t="array" ref="N142">_xlfn.XLOOKUP(RawSalesTable5[[#This Row],[Product_Code]],ProductLookupTable[[#All],[Product_Code]],ProductLookupTable[[#All],[Product_Name]],"NOT FOUND")</f>
        <v>Wireless Headset</v>
      </c>
      <c r="O142" t="str" cm="1">
        <f t="array" ref="O142">_xlfn.XLOOKUP(RawSalesTable5[[#This Row],[Product_Code]],ProductLookupTable[[#All],[Product_Code]],ProductLookupTable[[#All],[Category]],"NOT FOUND")</f>
        <v>Audio</v>
      </c>
      <c r="P142" cm="1">
        <f t="array" ref="P142">_xlfn.XLOOKUP(RawSalesTable5[[#This Row],[Product_Code]],ProductLookupTable[[#All],[Product_Code]],ProductLookupTable[[#All],[Unit_Price]],"NOT FOUND")</f>
        <v>3499</v>
      </c>
      <c r="Q142" t="str">
        <f>IF(COUNTIF(ProductLookupTable[Product_Code],RawSalesTable5[[#This Row],[Product_Code]])=0,"Missing Product","OK")</f>
        <v>OK</v>
      </c>
      <c r="R142" cm="1">
        <f t="array" ref="R142">_xlfn.XLOOKUP(RawSalesTable5[[#This Row],[Product_Code]],ProductLookupTable[[#All],[Product_Code]],ProductLookupTable[[#All],[Unit_Cost]],"NOT FOUND")</f>
        <v>2100</v>
      </c>
      <c r="S142">
        <f>IFERROR(RawSalesTable5[[#This Row],[Quantity]]*RawSalesTable5[[#This Row],[Unit_Price]],"NOT FOUND")</f>
        <v>6998</v>
      </c>
      <c r="T142">
        <f>IFERROR(RawSalesTable5[[#This Row],[Gross_Revenue]]*RawSalesTable5[[#This Row],[Discount_Pct]],"NOT FOUND")</f>
        <v>349.90000000000003</v>
      </c>
      <c r="U142">
        <f>IFERROR(RawSalesTable5[[#This Row],[Gross_Revenue]]-RawSalesTable5[[#This Row],[Discount_Value]],"NOT FOUND")</f>
        <v>6648.1</v>
      </c>
      <c r="V142">
        <f>IFERROR(RawSalesTable5[[#This Row],[Quantity]]*RawSalesTable5[[#This Row],[Unit_Cost]],"NOT FOUND")</f>
        <v>4200</v>
      </c>
      <c r="W142">
        <f>IFERROR(RawSalesTable5[[#This Row],[Net_Revenue]]-RawSalesTable5[[#This Row],[Cost]],"NOT FOUND")</f>
        <v>2448.1000000000004</v>
      </c>
      <c r="X142" s="27">
        <f>IF(RawSalesTable5[[#This Row],[Lookup_Status]]="Missing Product","",IFERROR(RawSalesTable5[[#This Row],[Profit]]/RawSalesTable5[[#This Row],[Net_Revenue]],0))</f>
        <v>0.36824054993155941</v>
      </c>
      <c r="Y142">
        <f>RawSalesTable5[[#This Row],[Ship_Date]]-RawSalesTable5[[#This Row],[Order_Date]]</f>
        <v>4</v>
      </c>
      <c r="Z142" s="28">
        <f>DATE(YEAR(RawSalesTable5[[#This Row],[Order_Date]]),MONTH(RawSalesTable5[[#This Row],[Order_Date]]),1)</f>
        <v>45717</v>
      </c>
      <c r="AA142" t="str" cm="1">
        <f t="array" ref="AA142">IF(RawSalesTable5[[#This Row],[Lookup_Status]]="Missing Product","",_xlfn.IFS(RawSalesTable5[[#This Row],[Net_Revenue]]&gt;=20000,"High",RawSalesTable5[[#This Row],[Net_Revenue]]&gt;=10000,"Medium",TRUE,"Low"))</f>
        <v>Low</v>
      </c>
    </row>
    <row r="143" spans="1:27">
      <c r="A143" t="s">
        <v>275</v>
      </c>
      <c r="B143" s="15">
        <v>45675</v>
      </c>
      <c r="C143" s="15">
        <v>45677</v>
      </c>
      <c r="D143" t="s">
        <v>114</v>
      </c>
      <c r="E143" t="s">
        <v>101</v>
      </c>
      <c r="F143" t="s">
        <v>154</v>
      </c>
      <c r="G143" t="s">
        <v>94</v>
      </c>
      <c r="H143" t="s">
        <v>87</v>
      </c>
      <c r="I143" s="17">
        <v>2</v>
      </c>
      <c r="J143" s="16">
        <v>0.2</v>
      </c>
      <c r="K143" t="s">
        <v>140</v>
      </c>
      <c r="L143" t="s">
        <v>89</v>
      </c>
      <c r="M143" s="17">
        <v>5</v>
      </c>
      <c r="N143" t="str" cm="1">
        <f t="array" ref="N143">_xlfn.XLOOKUP(RawSalesTable5[[#This Row],[Product_Code]],ProductLookupTable[[#All],[Product_Code]],ProductLookupTable[[#All],[Product_Name]],"NOT FOUND")</f>
        <v>Laptop Stand</v>
      </c>
      <c r="O143" t="str" cm="1">
        <f t="array" ref="O143">_xlfn.XLOOKUP(RawSalesTable5[[#This Row],[Product_Code]],ProductLookupTable[[#All],[Product_Code]],ProductLookupTable[[#All],[Category]],"NOT FOUND")</f>
        <v>Accessories</v>
      </c>
      <c r="P143" cm="1">
        <f t="array" ref="P143">_xlfn.XLOOKUP(RawSalesTable5[[#This Row],[Product_Code]],ProductLookupTable[[#All],[Product_Code]],ProductLookupTable[[#All],[Unit_Price]],"NOT FOUND")</f>
        <v>1899</v>
      </c>
      <c r="Q143" t="str">
        <f>IF(COUNTIF(ProductLookupTable[Product_Code],RawSalesTable5[[#This Row],[Product_Code]])=0,"Missing Product","OK")</f>
        <v>OK</v>
      </c>
      <c r="R143" cm="1">
        <f t="array" ref="R143">_xlfn.XLOOKUP(RawSalesTable5[[#This Row],[Product_Code]],ProductLookupTable[[#All],[Product_Code]],ProductLookupTable[[#All],[Unit_Cost]],"NOT FOUND")</f>
        <v>980</v>
      </c>
      <c r="S143">
        <f>IFERROR(RawSalesTable5[[#This Row],[Quantity]]*RawSalesTable5[[#This Row],[Unit_Price]],"NOT FOUND")</f>
        <v>3798</v>
      </c>
      <c r="T143">
        <f>IFERROR(RawSalesTable5[[#This Row],[Gross_Revenue]]*RawSalesTable5[[#This Row],[Discount_Pct]],"NOT FOUND")</f>
        <v>759.6</v>
      </c>
      <c r="U143">
        <f>IFERROR(RawSalesTable5[[#This Row],[Gross_Revenue]]-RawSalesTable5[[#This Row],[Discount_Value]],"NOT FOUND")</f>
        <v>3038.4</v>
      </c>
      <c r="V143">
        <f>IFERROR(RawSalesTable5[[#This Row],[Quantity]]*RawSalesTable5[[#This Row],[Unit_Cost]],"NOT FOUND")</f>
        <v>1960</v>
      </c>
      <c r="W143">
        <f>IFERROR(RawSalesTable5[[#This Row],[Net_Revenue]]-RawSalesTable5[[#This Row],[Cost]],"NOT FOUND")</f>
        <v>1078.4000000000001</v>
      </c>
      <c r="X143" s="27">
        <f>IF(RawSalesTable5[[#This Row],[Lookup_Status]]="Missing Product","",IFERROR(RawSalesTable5[[#This Row],[Profit]]/RawSalesTable5[[#This Row],[Net_Revenue]],0))</f>
        <v>0.35492364402317012</v>
      </c>
      <c r="Y143">
        <f>RawSalesTable5[[#This Row],[Ship_Date]]-RawSalesTable5[[#This Row],[Order_Date]]</f>
        <v>2</v>
      </c>
      <c r="Z143" s="28">
        <f>DATE(YEAR(RawSalesTable5[[#This Row],[Order_Date]]),MONTH(RawSalesTable5[[#This Row],[Order_Date]]),1)</f>
        <v>45658</v>
      </c>
      <c r="AA143" t="str" cm="1">
        <f t="array" ref="AA143">IF(RawSalesTable5[[#This Row],[Lookup_Status]]="Missing Product","",_xlfn.IFS(RawSalesTable5[[#This Row],[Net_Revenue]]&gt;=20000,"High",RawSalesTable5[[#This Row],[Net_Revenue]]&gt;=10000,"Medium",TRUE,"Low"))</f>
        <v>Low</v>
      </c>
    </row>
    <row r="144" spans="1:27">
      <c r="A144" t="s">
        <v>276</v>
      </c>
      <c r="B144" s="15">
        <v>45691</v>
      </c>
      <c r="C144" s="15">
        <v>45694</v>
      </c>
      <c r="D144" t="s">
        <v>157</v>
      </c>
      <c r="E144" t="s">
        <v>106</v>
      </c>
      <c r="F144" t="s">
        <v>154</v>
      </c>
      <c r="G144" t="s">
        <v>86</v>
      </c>
      <c r="H144" t="s">
        <v>103</v>
      </c>
      <c r="I144" s="17">
        <v>1</v>
      </c>
      <c r="J144" s="16">
        <v>0.2</v>
      </c>
      <c r="K144" t="s">
        <v>119</v>
      </c>
      <c r="L144" t="s">
        <v>89</v>
      </c>
      <c r="M144" s="17">
        <v>5</v>
      </c>
      <c r="N144" t="str" cm="1">
        <f t="array" ref="N144">_xlfn.XLOOKUP(RawSalesTable5[[#This Row],[Product_Code]],ProductLookupTable[[#All],[Product_Code]],ProductLookupTable[[#All],[Product_Name]],"NOT FOUND")</f>
        <v>Laptop Stand</v>
      </c>
      <c r="O144" t="str" cm="1">
        <f t="array" ref="O144">_xlfn.XLOOKUP(RawSalesTable5[[#This Row],[Product_Code]],ProductLookupTable[[#All],[Product_Code]],ProductLookupTable[[#All],[Category]],"NOT FOUND")</f>
        <v>Accessories</v>
      </c>
      <c r="P144" cm="1">
        <f t="array" ref="P144">_xlfn.XLOOKUP(RawSalesTable5[[#This Row],[Product_Code]],ProductLookupTable[[#All],[Product_Code]],ProductLookupTable[[#All],[Unit_Price]],"NOT FOUND")</f>
        <v>1899</v>
      </c>
      <c r="Q144" t="str">
        <f>IF(COUNTIF(ProductLookupTable[Product_Code],RawSalesTable5[[#This Row],[Product_Code]])=0,"Missing Product","OK")</f>
        <v>OK</v>
      </c>
      <c r="R144" cm="1">
        <f t="array" ref="R144">_xlfn.XLOOKUP(RawSalesTable5[[#This Row],[Product_Code]],ProductLookupTable[[#All],[Product_Code]],ProductLookupTable[[#All],[Unit_Cost]],"NOT FOUND")</f>
        <v>980</v>
      </c>
      <c r="S144">
        <f>IFERROR(RawSalesTable5[[#This Row],[Quantity]]*RawSalesTable5[[#This Row],[Unit_Price]],"NOT FOUND")</f>
        <v>1899</v>
      </c>
      <c r="T144">
        <f>IFERROR(RawSalesTable5[[#This Row],[Gross_Revenue]]*RawSalesTable5[[#This Row],[Discount_Pct]],"NOT FOUND")</f>
        <v>379.8</v>
      </c>
      <c r="U144">
        <f>IFERROR(RawSalesTable5[[#This Row],[Gross_Revenue]]-RawSalesTable5[[#This Row],[Discount_Value]],"NOT FOUND")</f>
        <v>1519.2</v>
      </c>
      <c r="V144">
        <f>IFERROR(RawSalesTable5[[#This Row],[Quantity]]*RawSalesTable5[[#This Row],[Unit_Cost]],"NOT FOUND")</f>
        <v>980</v>
      </c>
      <c r="W144">
        <f>IFERROR(RawSalesTable5[[#This Row],[Net_Revenue]]-RawSalesTable5[[#This Row],[Cost]],"NOT FOUND")</f>
        <v>539.20000000000005</v>
      </c>
      <c r="X144" s="27">
        <f>IF(RawSalesTable5[[#This Row],[Lookup_Status]]="Missing Product","",IFERROR(RawSalesTable5[[#This Row],[Profit]]/RawSalesTable5[[#This Row],[Net_Revenue]],0))</f>
        <v>0.35492364402317012</v>
      </c>
      <c r="Y144">
        <f>RawSalesTable5[[#This Row],[Ship_Date]]-RawSalesTable5[[#This Row],[Order_Date]]</f>
        <v>3</v>
      </c>
      <c r="Z144" s="28">
        <f>DATE(YEAR(RawSalesTable5[[#This Row],[Order_Date]]),MONTH(RawSalesTable5[[#This Row],[Order_Date]]),1)</f>
        <v>45689</v>
      </c>
      <c r="AA144" t="str" cm="1">
        <f t="array" ref="AA144">IF(RawSalesTable5[[#This Row],[Lookup_Status]]="Missing Product","",_xlfn.IFS(RawSalesTable5[[#This Row],[Net_Revenue]]&gt;=20000,"High",RawSalesTable5[[#This Row],[Net_Revenue]]&gt;=10000,"Medium",TRUE,"Low"))</f>
        <v>Low</v>
      </c>
    </row>
    <row r="145" spans="1:27">
      <c r="A145" t="s">
        <v>277</v>
      </c>
      <c r="B145" s="15">
        <v>45993</v>
      </c>
      <c r="C145" s="15">
        <v>45997</v>
      </c>
      <c r="D145" t="s">
        <v>212</v>
      </c>
      <c r="E145" t="s">
        <v>111</v>
      </c>
      <c r="F145" t="s">
        <v>93</v>
      </c>
      <c r="G145" t="s">
        <v>125</v>
      </c>
      <c r="H145" t="s">
        <v>103</v>
      </c>
      <c r="I145" s="17">
        <v>4</v>
      </c>
      <c r="J145" s="16">
        <v>0.2</v>
      </c>
      <c r="K145" t="s">
        <v>140</v>
      </c>
      <c r="L145" t="s">
        <v>89</v>
      </c>
      <c r="M145" s="17">
        <v>5</v>
      </c>
      <c r="N145" t="str" cm="1">
        <f t="array" ref="N145">_xlfn.XLOOKUP(RawSalesTable5[[#This Row],[Product_Code]],ProductLookupTable[[#All],[Product_Code]],ProductLookupTable[[#All],[Product_Name]],"NOT FOUND")</f>
        <v>Wireless Headset</v>
      </c>
      <c r="O145" t="str" cm="1">
        <f t="array" ref="O145">_xlfn.XLOOKUP(RawSalesTable5[[#This Row],[Product_Code]],ProductLookupTable[[#All],[Product_Code]],ProductLookupTable[[#All],[Category]],"NOT FOUND")</f>
        <v>Audio</v>
      </c>
      <c r="P145" cm="1">
        <f t="array" ref="P145">_xlfn.XLOOKUP(RawSalesTable5[[#This Row],[Product_Code]],ProductLookupTable[[#All],[Product_Code]],ProductLookupTable[[#All],[Unit_Price]],"NOT FOUND")</f>
        <v>3499</v>
      </c>
      <c r="Q145" t="str">
        <f>IF(COUNTIF(ProductLookupTable[Product_Code],RawSalesTable5[[#This Row],[Product_Code]])=0,"Missing Product","OK")</f>
        <v>OK</v>
      </c>
      <c r="R145" cm="1">
        <f t="array" ref="R145">_xlfn.XLOOKUP(RawSalesTable5[[#This Row],[Product_Code]],ProductLookupTable[[#All],[Product_Code]],ProductLookupTable[[#All],[Unit_Cost]],"NOT FOUND")</f>
        <v>2100</v>
      </c>
      <c r="S145">
        <f>IFERROR(RawSalesTable5[[#This Row],[Quantity]]*RawSalesTable5[[#This Row],[Unit_Price]],"NOT FOUND")</f>
        <v>13996</v>
      </c>
      <c r="T145">
        <f>IFERROR(RawSalesTable5[[#This Row],[Gross_Revenue]]*RawSalesTable5[[#This Row],[Discount_Pct]],"NOT FOUND")</f>
        <v>2799.2000000000003</v>
      </c>
      <c r="U145">
        <f>IFERROR(RawSalesTable5[[#This Row],[Gross_Revenue]]-RawSalesTable5[[#This Row],[Discount_Value]],"NOT FOUND")</f>
        <v>11196.8</v>
      </c>
      <c r="V145">
        <f>IFERROR(RawSalesTable5[[#This Row],[Quantity]]*RawSalesTable5[[#This Row],[Unit_Cost]],"NOT FOUND")</f>
        <v>8400</v>
      </c>
      <c r="W145">
        <f>IFERROR(RawSalesTable5[[#This Row],[Net_Revenue]]-RawSalesTable5[[#This Row],[Cost]],"NOT FOUND")</f>
        <v>2796.7999999999993</v>
      </c>
      <c r="X145" s="27">
        <f>IF(RawSalesTable5[[#This Row],[Lookup_Status]]="Missing Product","",IFERROR(RawSalesTable5[[#This Row],[Profit]]/RawSalesTable5[[#This Row],[Net_Revenue]],0))</f>
        <v>0.24978565304372674</v>
      </c>
      <c r="Y145">
        <f>RawSalesTable5[[#This Row],[Ship_Date]]-RawSalesTable5[[#This Row],[Order_Date]]</f>
        <v>4</v>
      </c>
      <c r="Z145" s="28">
        <f>DATE(YEAR(RawSalesTable5[[#This Row],[Order_Date]]),MONTH(RawSalesTable5[[#This Row],[Order_Date]]),1)</f>
        <v>45992</v>
      </c>
      <c r="AA145" t="str" cm="1">
        <f t="array" ref="AA145">IF(RawSalesTable5[[#This Row],[Lookup_Status]]="Missing Product","",_xlfn.IFS(RawSalesTable5[[#This Row],[Net_Revenue]]&gt;=20000,"High",RawSalesTable5[[#This Row],[Net_Revenue]]&gt;=10000,"Medium",TRUE,"Low"))</f>
        <v>Medium</v>
      </c>
    </row>
    <row r="146" spans="1:27">
      <c r="A146" t="s">
        <v>278</v>
      </c>
      <c r="B146" s="15">
        <v>45788</v>
      </c>
      <c r="C146" s="15">
        <v>45794</v>
      </c>
      <c r="D146" t="s">
        <v>123</v>
      </c>
      <c r="E146" t="s">
        <v>84</v>
      </c>
      <c r="F146" t="s">
        <v>118</v>
      </c>
      <c r="G146" t="s">
        <v>86</v>
      </c>
      <c r="H146" t="s">
        <v>87</v>
      </c>
      <c r="I146" s="17">
        <v>3</v>
      </c>
      <c r="J146" s="16">
        <v>0.15</v>
      </c>
      <c r="K146" t="s">
        <v>95</v>
      </c>
      <c r="L146" t="s">
        <v>89</v>
      </c>
      <c r="M146" s="17">
        <v>3</v>
      </c>
      <c r="N146" t="str" cm="1">
        <f t="array" ref="N146">_xlfn.XLOOKUP(RawSalesTable5[[#This Row],[Product_Code]],ProductLookupTable[[#All],[Product_Code]],ProductLookupTable[[#All],[Product_Name]],"NOT FOUND")</f>
        <v>Mechanical Keyboard</v>
      </c>
      <c r="O146" t="str" cm="1">
        <f t="array" ref="O146">_xlfn.XLOOKUP(RawSalesTable5[[#This Row],[Product_Code]],ProductLookupTable[[#All],[Product_Code]],ProductLookupTable[[#All],[Category]],"NOT FOUND")</f>
        <v>Accessories</v>
      </c>
      <c r="P146" cm="1">
        <f t="array" ref="P146">_xlfn.XLOOKUP(RawSalesTable5[[#This Row],[Product_Code]],ProductLookupTable[[#All],[Product_Code]],ProductLookupTable[[#All],[Unit_Price]],"NOT FOUND")</f>
        <v>2499</v>
      </c>
      <c r="Q146" t="str">
        <f>IF(COUNTIF(ProductLookupTable[Product_Code],RawSalesTable5[[#This Row],[Product_Code]])=0,"Missing Product","OK")</f>
        <v>OK</v>
      </c>
      <c r="R146" cm="1">
        <f t="array" ref="R146">_xlfn.XLOOKUP(RawSalesTable5[[#This Row],[Product_Code]],ProductLookupTable[[#All],[Product_Code]],ProductLookupTable[[#All],[Unit_Cost]],"NOT FOUND")</f>
        <v>1450</v>
      </c>
      <c r="S146">
        <f>IFERROR(RawSalesTable5[[#This Row],[Quantity]]*RawSalesTable5[[#This Row],[Unit_Price]],"NOT FOUND")</f>
        <v>7497</v>
      </c>
      <c r="T146">
        <f>IFERROR(RawSalesTable5[[#This Row],[Gross_Revenue]]*RawSalesTable5[[#This Row],[Discount_Pct]],"NOT FOUND")</f>
        <v>1124.55</v>
      </c>
      <c r="U146">
        <f>IFERROR(RawSalesTable5[[#This Row],[Gross_Revenue]]-RawSalesTable5[[#This Row],[Discount_Value]],"NOT FOUND")</f>
        <v>6372.45</v>
      </c>
      <c r="V146">
        <f>IFERROR(RawSalesTable5[[#This Row],[Quantity]]*RawSalesTable5[[#This Row],[Unit_Cost]],"NOT FOUND")</f>
        <v>4350</v>
      </c>
      <c r="W146">
        <f>IFERROR(RawSalesTable5[[#This Row],[Net_Revenue]]-RawSalesTable5[[#This Row],[Cost]],"NOT FOUND")</f>
        <v>2022.4499999999998</v>
      </c>
      <c r="X146" s="27">
        <f>IF(RawSalesTable5[[#This Row],[Lookup_Status]]="Missing Product","",IFERROR(RawSalesTable5[[#This Row],[Profit]]/RawSalesTable5[[#This Row],[Net_Revenue]],0))</f>
        <v>0.31737400842690017</v>
      </c>
      <c r="Y146">
        <f>RawSalesTable5[[#This Row],[Ship_Date]]-RawSalesTable5[[#This Row],[Order_Date]]</f>
        <v>6</v>
      </c>
      <c r="Z146" s="28">
        <f>DATE(YEAR(RawSalesTable5[[#This Row],[Order_Date]]),MONTH(RawSalesTable5[[#This Row],[Order_Date]]),1)</f>
        <v>45778</v>
      </c>
      <c r="AA146" t="str" cm="1">
        <f t="array" ref="AA146">IF(RawSalesTable5[[#This Row],[Lookup_Status]]="Missing Product","",_xlfn.IFS(RawSalesTable5[[#This Row],[Net_Revenue]]&gt;=20000,"High",RawSalesTable5[[#This Row],[Net_Revenue]]&gt;=10000,"Medium",TRUE,"Low"))</f>
        <v>Low</v>
      </c>
    </row>
    <row r="147" spans="1:27">
      <c r="A147" t="s">
        <v>279</v>
      </c>
      <c r="B147" s="15">
        <v>45860</v>
      </c>
      <c r="C147" s="15">
        <v>45867</v>
      </c>
      <c r="D147" t="s">
        <v>83</v>
      </c>
      <c r="E147" t="s">
        <v>92</v>
      </c>
      <c r="F147" t="s">
        <v>118</v>
      </c>
      <c r="G147" t="s">
        <v>86</v>
      </c>
      <c r="H147" t="s">
        <v>87</v>
      </c>
      <c r="I147" s="17">
        <v>2</v>
      </c>
      <c r="J147" s="16">
        <v>0</v>
      </c>
      <c r="K147" t="s">
        <v>112</v>
      </c>
      <c r="L147" t="s">
        <v>89</v>
      </c>
      <c r="M147" s="17">
        <v>5</v>
      </c>
      <c r="N147" t="str" cm="1">
        <f t="array" ref="N147">_xlfn.XLOOKUP(RawSalesTable5[[#This Row],[Product_Code]],ProductLookupTable[[#All],[Product_Code]],ProductLookupTable[[#All],[Product_Name]],"NOT FOUND")</f>
        <v>Mechanical Keyboard</v>
      </c>
      <c r="O147" t="str" cm="1">
        <f t="array" ref="O147">_xlfn.XLOOKUP(RawSalesTable5[[#This Row],[Product_Code]],ProductLookupTable[[#All],[Product_Code]],ProductLookupTable[[#All],[Category]],"NOT FOUND")</f>
        <v>Accessories</v>
      </c>
      <c r="P147" cm="1">
        <f t="array" ref="P147">_xlfn.XLOOKUP(RawSalesTable5[[#This Row],[Product_Code]],ProductLookupTable[[#All],[Product_Code]],ProductLookupTable[[#All],[Unit_Price]],"NOT FOUND")</f>
        <v>2499</v>
      </c>
      <c r="Q147" t="str">
        <f>IF(COUNTIF(ProductLookupTable[Product_Code],RawSalesTable5[[#This Row],[Product_Code]])=0,"Missing Product","OK")</f>
        <v>OK</v>
      </c>
      <c r="R147" cm="1">
        <f t="array" ref="R147">_xlfn.XLOOKUP(RawSalesTable5[[#This Row],[Product_Code]],ProductLookupTable[[#All],[Product_Code]],ProductLookupTable[[#All],[Unit_Cost]],"NOT FOUND")</f>
        <v>1450</v>
      </c>
      <c r="S147">
        <f>IFERROR(RawSalesTable5[[#This Row],[Quantity]]*RawSalesTable5[[#This Row],[Unit_Price]],"NOT FOUND")</f>
        <v>4998</v>
      </c>
      <c r="T147">
        <f>IFERROR(RawSalesTable5[[#This Row],[Gross_Revenue]]*RawSalesTable5[[#This Row],[Discount_Pct]],"NOT FOUND")</f>
        <v>0</v>
      </c>
      <c r="U147">
        <f>IFERROR(RawSalesTable5[[#This Row],[Gross_Revenue]]-RawSalesTable5[[#This Row],[Discount_Value]],"NOT FOUND")</f>
        <v>4998</v>
      </c>
      <c r="V147">
        <f>IFERROR(RawSalesTable5[[#This Row],[Quantity]]*RawSalesTable5[[#This Row],[Unit_Cost]],"NOT FOUND")</f>
        <v>2900</v>
      </c>
      <c r="W147">
        <f>IFERROR(RawSalesTable5[[#This Row],[Net_Revenue]]-RawSalesTable5[[#This Row],[Cost]],"NOT FOUND")</f>
        <v>2098</v>
      </c>
      <c r="X147" s="27">
        <f>IF(RawSalesTable5[[#This Row],[Lookup_Status]]="Missing Product","",IFERROR(RawSalesTable5[[#This Row],[Profit]]/RawSalesTable5[[#This Row],[Net_Revenue]],0))</f>
        <v>0.41976790716286516</v>
      </c>
      <c r="Y147">
        <f>RawSalesTable5[[#This Row],[Ship_Date]]-RawSalesTable5[[#This Row],[Order_Date]]</f>
        <v>7</v>
      </c>
      <c r="Z147" s="28">
        <f>DATE(YEAR(RawSalesTable5[[#This Row],[Order_Date]]),MONTH(RawSalesTable5[[#This Row],[Order_Date]]),1)</f>
        <v>45839</v>
      </c>
      <c r="AA147" t="str" cm="1">
        <f t="array" ref="AA147">IF(RawSalesTable5[[#This Row],[Lookup_Status]]="Missing Product","",_xlfn.IFS(RawSalesTable5[[#This Row],[Net_Revenue]]&gt;=20000,"High",RawSalesTable5[[#This Row],[Net_Revenue]]&gt;=10000,"Medium",TRUE,"Low"))</f>
        <v>Low</v>
      </c>
    </row>
    <row r="148" spans="1:27">
      <c r="A148" t="s">
        <v>280</v>
      </c>
      <c r="B148" s="15">
        <v>45806</v>
      </c>
      <c r="C148" s="15">
        <v>45810</v>
      </c>
      <c r="D148" t="s">
        <v>114</v>
      </c>
      <c r="E148" t="s">
        <v>98</v>
      </c>
      <c r="F148" t="s">
        <v>121</v>
      </c>
      <c r="G148" t="s">
        <v>86</v>
      </c>
      <c r="H148" t="s">
        <v>86</v>
      </c>
      <c r="I148" s="17">
        <v>4</v>
      </c>
      <c r="J148" s="16">
        <v>0.2</v>
      </c>
      <c r="K148" t="s">
        <v>140</v>
      </c>
      <c r="L148" t="s">
        <v>89</v>
      </c>
      <c r="M148" s="17">
        <v>5</v>
      </c>
      <c r="N148" t="str" cm="1">
        <f t="array" ref="N148">_xlfn.XLOOKUP(RawSalesTable5[[#This Row],[Product_Code]],ProductLookupTable[[#All],[Product_Code]],ProductLookupTable[[#All],[Product_Name]],"NOT FOUND")</f>
        <v>HD Webcam</v>
      </c>
      <c r="O148" t="str" cm="1">
        <f t="array" ref="O148">_xlfn.XLOOKUP(RawSalesTable5[[#This Row],[Product_Code]],ProductLookupTable[[#All],[Product_Code]],ProductLookupTable[[#All],[Category]],"NOT FOUND")</f>
        <v>Accessories</v>
      </c>
      <c r="P148" cm="1">
        <f t="array" ref="P148">_xlfn.XLOOKUP(RawSalesTable5[[#This Row],[Product_Code]],ProductLookupTable[[#All],[Product_Code]],ProductLookupTable[[#All],[Unit_Price]],"NOT FOUND")</f>
        <v>2899</v>
      </c>
      <c r="Q148" t="str">
        <f>IF(COUNTIF(ProductLookupTable[Product_Code],RawSalesTable5[[#This Row],[Product_Code]])=0,"Missing Product","OK")</f>
        <v>OK</v>
      </c>
      <c r="R148" cm="1">
        <f t="array" ref="R148">_xlfn.XLOOKUP(RawSalesTable5[[#This Row],[Product_Code]],ProductLookupTable[[#All],[Product_Code]],ProductLookupTable[[#All],[Unit_Cost]],"NOT FOUND")</f>
        <v>1700</v>
      </c>
      <c r="S148">
        <f>IFERROR(RawSalesTable5[[#This Row],[Quantity]]*RawSalesTable5[[#This Row],[Unit_Price]],"NOT FOUND")</f>
        <v>11596</v>
      </c>
      <c r="T148">
        <f>IFERROR(RawSalesTable5[[#This Row],[Gross_Revenue]]*RawSalesTable5[[#This Row],[Discount_Pct]],"NOT FOUND")</f>
        <v>2319.2000000000003</v>
      </c>
      <c r="U148">
        <f>IFERROR(RawSalesTable5[[#This Row],[Gross_Revenue]]-RawSalesTable5[[#This Row],[Discount_Value]],"NOT FOUND")</f>
        <v>9276.7999999999993</v>
      </c>
      <c r="V148">
        <f>IFERROR(RawSalesTable5[[#This Row],[Quantity]]*RawSalesTable5[[#This Row],[Unit_Cost]],"NOT FOUND")</f>
        <v>6800</v>
      </c>
      <c r="W148">
        <f>IFERROR(RawSalesTable5[[#This Row],[Net_Revenue]]-RawSalesTable5[[#This Row],[Cost]],"NOT FOUND")</f>
        <v>2476.7999999999993</v>
      </c>
      <c r="X148" s="27">
        <f>IF(RawSalesTable5[[#This Row],[Lookup_Status]]="Missing Product","",IFERROR(RawSalesTable5[[#This Row],[Profit]]/RawSalesTable5[[#This Row],[Net_Revenue]],0))</f>
        <v>0.26698861676440144</v>
      </c>
      <c r="Y148">
        <f>RawSalesTable5[[#This Row],[Ship_Date]]-RawSalesTable5[[#This Row],[Order_Date]]</f>
        <v>4</v>
      </c>
      <c r="Z148" s="28">
        <f>DATE(YEAR(RawSalesTable5[[#This Row],[Order_Date]]),MONTH(RawSalesTable5[[#This Row],[Order_Date]]),1)</f>
        <v>45778</v>
      </c>
      <c r="AA148" t="str" cm="1">
        <f t="array" ref="AA148">IF(RawSalesTable5[[#This Row],[Lookup_Status]]="Missing Product","",_xlfn.IFS(RawSalesTable5[[#This Row],[Net_Revenue]]&gt;=20000,"High",RawSalesTable5[[#This Row],[Net_Revenue]]&gt;=10000,"Medium",TRUE,"Low"))</f>
        <v>Low</v>
      </c>
    </row>
    <row r="149" spans="1:27">
      <c r="A149" t="s">
        <v>281</v>
      </c>
      <c r="B149" s="15">
        <v>45820</v>
      </c>
      <c r="C149" s="15">
        <v>45823</v>
      </c>
      <c r="D149" t="s">
        <v>157</v>
      </c>
      <c r="E149" t="s">
        <v>101</v>
      </c>
      <c r="F149" t="s">
        <v>149</v>
      </c>
      <c r="G149" t="s">
        <v>108</v>
      </c>
      <c r="H149" t="s">
        <v>87</v>
      </c>
      <c r="I149" s="17">
        <v>1</v>
      </c>
      <c r="J149" s="16">
        <v>0</v>
      </c>
      <c r="K149" t="s">
        <v>88</v>
      </c>
      <c r="L149" t="s">
        <v>89</v>
      </c>
      <c r="M149" s="17">
        <v>4</v>
      </c>
      <c r="N149" t="str" cm="1">
        <f t="array" ref="N149">_xlfn.XLOOKUP(RawSalesTable5[[#This Row],[Product_Code]],ProductLookupTable[[#All],[Product_Code]],ProductLookupTable[[#All],[Product_Name]],"NOT FOUND")</f>
        <v>Portable HDD 2TB</v>
      </c>
      <c r="O149" t="str" cm="1">
        <f t="array" ref="O149">_xlfn.XLOOKUP(RawSalesTable5[[#This Row],[Product_Code]],ProductLookupTable[[#All],[Product_Code]],ProductLookupTable[[#All],[Category]],"NOT FOUND")</f>
        <v>Storage</v>
      </c>
      <c r="P149" cm="1">
        <f t="array" ref="P149">_xlfn.XLOOKUP(RawSalesTable5[[#This Row],[Product_Code]],ProductLookupTable[[#All],[Product_Code]],ProductLookupTable[[#All],[Unit_Price]],"NOT FOUND")</f>
        <v>5899</v>
      </c>
      <c r="Q149" t="str">
        <f>IF(COUNTIF(ProductLookupTable[Product_Code],RawSalesTable5[[#This Row],[Product_Code]])=0,"Missing Product","OK")</f>
        <v>OK</v>
      </c>
      <c r="R149" cm="1">
        <f t="array" ref="R149">_xlfn.XLOOKUP(RawSalesTable5[[#This Row],[Product_Code]],ProductLookupTable[[#All],[Product_Code]],ProductLookupTable[[#All],[Unit_Cost]],"NOT FOUND")</f>
        <v>4100</v>
      </c>
      <c r="S149">
        <f>IFERROR(RawSalesTable5[[#This Row],[Quantity]]*RawSalesTable5[[#This Row],[Unit_Price]],"NOT FOUND")</f>
        <v>5899</v>
      </c>
      <c r="T149">
        <f>IFERROR(RawSalesTable5[[#This Row],[Gross_Revenue]]*RawSalesTable5[[#This Row],[Discount_Pct]],"NOT FOUND")</f>
        <v>0</v>
      </c>
      <c r="U149">
        <f>IFERROR(RawSalesTable5[[#This Row],[Gross_Revenue]]-RawSalesTable5[[#This Row],[Discount_Value]],"NOT FOUND")</f>
        <v>5899</v>
      </c>
      <c r="V149">
        <f>IFERROR(RawSalesTable5[[#This Row],[Quantity]]*RawSalesTable5[[#This Row],[Unit_Cost]],"NOT FOUND")</f>
        <v>4100</v>
      </c>
      <c r="W149">
        <f>IFERROR(RawSalesTable5[[#This Row],[Net_Revenue]]-RawSalesTable5[[#This Row],[Cost]],"NOT FOUND")</f>
        <v>1799</v>
      </c>
      <c r="X149" s="27">
        <f>IF(RawSalesTable5[[#This Row],[Lookup_Status]]="Missing Product","",IFERROR(RawSalesTable5[[#This Row],[Profit]]/RawSalesTable5[[#This Row],[Net_Revenue]],0))</f>
        <v>0.30496694354975418</v>
      </c>
      <c r="Y149">
        <f>RawSalesTable5[[#This Row],[Ship_Date]]-RawSalesTable5[[#This Row],[Order_Date]]</f>
        <v>3</v>
      </c>
      <c r="Z149" s="28">
        <f>DATE(YEAR(RawSalesTable5[[#This Row],[Order_Date]]),MONTH(RawSalesTable5[[#This Row],[Order_Date]]),1)</f>
        <v>45809</v>
      </c>
      <c r="AA149" t="str" cm="1">
        <f t="array" ref="AA149">IF(RawSalesTable5[[#This Row],[Lookup_Status]]="Missing Product","",_xlfn.IFS(RawSalesTable5[[#This Row],[Net_Revenue]]&gt;=20000,"High",RawSalesTable5[[#This Row],[Net_Revenue]]&gt;=10000,"Medium",TRUE,"Low"))</f>
        <v>Low</v>
      </c>
    </row>
    <row r="150" spans="1:27">
      <c r="A150" t="s">
        <v>282</v>
      </c>
      <c r="B150" s="15">
        <v>45867</v>
      </c>
      <c r="C150" s="15">
        <v>45875</v>
      </c>
      <c r="D150" t="s">
        <v>212</v>
      </c>
      <c r="E150" t="s">
        <v>106</v>
      </c>
      <c r="F150" t="s">
        <v>147</v>
      </c>
      <c r="G150" t="s">
        <v>94</v>
      </c>
      <c r="H150" t="s">
        <v>87</v>
      </c>
      <c r="I150" s="17">
        <v>2</v>
      </c>
      <c r="J150" s="16">
        <v>0</v>
      </c>
      <c r="K150" t="s">
        <v>95</v>
      </c>
      <c r="L150" t="s">
        <v>126</v>
      </c>
      <c r="M150" s="17">
        <v>1</v>
      </c>
      <c r="N150" t="str" cm="1">
        <f t="array" ref="N150">_xlfn.XLOOKUP(RawSalesTable5[[#This Row],[Product_Code]],ProductLookupTable[[#All],[Product_Code]],ProductLookupTable[[#All],[Product_Name]],"NOT FOUND")</f>
        <v>LED Desk Lamp</v>
      </c>
      <c r="O150" t="str" cm="1">
        <f t="array" ref="O150">_xlfn.XLOOKUP(RawSalesTable5[[#This Row],[Product_Code]],ProductLookupTable[[#All],[Product_Code]],ProductLookupTable[[#All],[Category]],"NOT FOUND")</f>
        <v>Furniture</v>
      </c>
      <c r="P150" cm="1">
        <f t="array" ref="P150">_xlfn.XLOOKUP(RawSalesTable5[[#This Row],[Product_Code]],ProductLookupTable[[#All],[Product_Code]],ProductLookupTable[[#All],[Unit_Price]],"NOT FOUND")</f>
        <v>1999</v>
      </c>
      <c r="Q150" t="str">
        <f>IF(COUNTIF(ProductLookupTable[Product_Code],RawSalesTable5[[#This Row],[Product_Code]])=0,"Missing Product","OK")</f>
        <v>OK</v>
      </c>
      <c r="R150" cm="1">
        <f t="array" ref="R150">_xlfn.XLOOKUP(RawSalesTable5[[#This Row],[Product_Code]],ProductLookupTable[[#All],[Product_Code]],ProductLookupTable[[#All],[Unit_Cost]],"NOT FOUND")</f>
        <v>1050</v>
      </c>
      <c r="S150">
        <f>IFERROR(RawSalesTable5[[#This Row],[Quantity]]*RawSalesTable5[[#This Row],[Unit_Price]],"NOT FOUND")</f>
        <v>3998</v>
      </c>
      <c r="T150">
        <f>IFERROR(RawSalesTable5[[#This Row],[Gross_Revenue]]*RawSalesTable5[[#This Row],[Discount_Pct]],"NOT FOUND")</f>
        <v>0</v>
      </c>
      <c r="U150">
        <f>IFERROR(RawSalesTable5[[#This Row],[Gross_Revenue]]-RawSalesTable5[[#This Row],[Discount_Value]],"NOT FOUND")</f>
        <v>3998</v>
      </c>
      <c r="V150">
        <f>IFERROR(RawSalesTable5[[#This Row],[Quantity]]*RawSalesTable5[[#This Row],[Unit_Cost]],"NOT FOUND")</f>
        <v>2100</v>
      </c>
      <c r="W150">
        <f>IFERROR(RawSalesTable5[[#This Row],[Net_Revenue]]-RawSalesTable5[[#This Row],[Cost]],"NOT FOUND")</f>
        <v>1898</v>
      </c>
      <c r="X150" s="27">
        <f>IF(RawSalesTable5[[#This Row],[Lookup_Status]]="Missing Product","",IFERROR(RawSalesTable5[[#This Row],[Profit]]/RawSalesTable5[[#This Row],[Net_Revenue]],0))</f>
        <v>0.47473736868434219</v>
      </c>
      <c r="Y150">
        <f>RawSalesTable5[[#This Row],[Ship_Date]]-RawSalesTable5[[#This Row],[Order_Date]]</f>
        <v>8</v>
      </c>
      <c r="Z150" s="28">
        <f>DATE(YEAR(RawSalesTable5[[#This Row],[Order_Date]]),MONTH(RawSalesTable5[[#This Row],[Order_Date]]),1)</f>
        <v>45839</v>
      </c>
      <c r="AA150" t="str" cm="1">
        <f t="array" ref="AA150">IF(RawSalesTable5[[#This Row],[Lookup_Status]]="Missing Product","",_xlfn.IFS(RawSalesTable5[[#This Row],[Net_Revenue]]&gt;=20000,"High",RawSalesTable5[[#This Row],[Net_Revenue]]&gt;=10000,"Medium",TRUE,"Low"))</f>
        <v>Low</v>
      </c>
    </row>
    <row r="151" spans="1:27">
      <c r="A151" t="s">
        <v>283</v>
      </c>
      <c r="B151" s="15">
        <v>45850</v>
      </c>
      <c r="C151" s="15">
        <v>45854</v>
      </c>
      <c r="D151" t="s">
        <v>123</v>
      </c>
      <c r="E151" t="s">
        <v>111</v>
      </c>
      <c r="F151" t="s">
        <v>102</v>
      </c>
      <c r="G151" t="s">
        <v>94</v>
      </c>
      <c r="H151" t="s">
        <v>86</v>
      </c>
      <c r="I151" s="17">
        <v>2</v>
      </c>
      <c r="J151" s="16">
        <v>0</v>
      </c>
      <c r="K151" t="s">
        <v>88</v>
      </c>
      <c r="L151" t="s">
        <v>89</v>
      </c>
      <c r="M151" s="17">
        <v>3</v>
      </c>
      <c r="N151" t="str" cm="1">
        <f t="array" ref="N151">_xlfn.XLOOKUP(RawSalesTable5[[#This Row],[Product_Code]],ProductLookupTable[[#All],[Product_Code]],ProductLookupTable[[#All],[Product_Name]],"NOT FOUND")</f>
        <v>SSD 1TB</v>
      </c>
      <c r="O151" t="str" cm="1">
        <f t="array" ref="O151">_xlfn.XLOOKUP(RawSalesTable5[[#This Row],[Product_Code]],ProductLookupTable[[#All],[Product_Code]],ProductLookupTable[[#All],[Category]],"NOT FOUND")</f>
        <v>Storage</v>
      </c>
      <c r="P151" cm="1">
        <f t="array" ref="P151">_xlfn.XLOOKUP(RawSalesTable5[[#This Row],[Product_Code]],ProductLookupTable[[#All],[Product_Code]],ProductLookupTable[[#All],[Unit_Price]],"NOT FOUND")</f>
        <v>6999</v>
      </c>
      <c r="Q151" t="str">
        <f>IF(COUNTIF(ProductLookupTable[Product_Code],RawSalesTable5[[#This Row],[Product_Code]])=0,"Missing Product","OK")</f>
        <v>OK</v>
      </c>
      <c r="R151" cm="1">
        <f t="array" ref="R151">_xlfn.XLOOKUP(RawSalesTable5[[#This Row],[Product_Code]],ProductLookupTable[[#All],[Product_Code]],ProductLookupTable[[#All],[Unit_Cost]],"NOT FOUND")</f>
        <v>4900</v>
      </c>
      <c r="S151">
        <f>IFERROR(RawSalesTable5[[#This Row],[Quantity]]*RawSalesTable5[[#This Row],[Unit_Price]],"NOT FOUND")</f>
        <v>13998</v>
      </c>
      <c r="T151">
        <f>IFERROR(RawSalesTable5[[#This Row],[Gross_Revenue]]*RawSalesTable5[[#This Row],[Discount_Pct]],"NOT FOUND")</f>
        <v>0</v>
      </c>
      <c r="U151">
        <f>IFERROR(RawSalesTable5[[#This Row],[Gross_Revenue]]-RawSalesTable5[[#This Row],[Discount_Value]],"NOT FOUND")</f>
        <v>13998</v>
      </c>
      <c r="V151">
        <f>IFERROR(RawSalesTable5[[#This Row],[Quantity]]*RawSalesTable5[[#This Row],[Unit_Cost]],"NOT FOUND")</f>
        <v>9800</v>
      </c>
      <c r="W151">
        <f>IFERROR(RawSalesTable5[[#This Row],[Net_Revenue]]-RawSalesTable5[[#This Row],[Cost]],"NOT FOUND")</f>
        <v>4198</v>
      </c>
      <c r="X151" s="27">
        <f>IF(RawSalesTable5[[#This Row],[Lookup_Status]]="Missing Product","",IFERROR(RawSalesTable5[[#This Row],[Profit]]/RawSalesTable5[[#This Row],[Net_Revenue]],0))</f>
        <v>0.29989998571224463</v>
      </c>
      <c r="Y151">
        <f>RawSalesTable5[[#This Row],[Ship_Date]]-RawSalesTable5[[#This Row],[Order_Date]]</f>
        <v>4</v>
      </c>
      <c r="Z151" s="28">
        <f>DATE(YEAR(RawSalesTable5[[#This Row],[Order_Date]]),MONTH(RawSalesTable5[[#This Row],[Order_Date]]),1)</f>
        <v>45839</v>
      </c>
      <c r="AA151" t="str" cm="1">
        <f t="array" ref="AA151">IF(RawSalesTable5[[#This Row],[Lookup_Status]]="Missing Product","",_xlfn.IFS(RawSalesTable5[[#This Row],[Net_Revenue]]&gt;=20000,"High",RawSalesTable5[[#This Row],[Net_Revenue]]&gt;=10000,"Medium",TRUE,"Low"))</f>
        <v>Medium</v>
      </c>
    </row>
    <row r="152" spans="1:27">
      <c r="A152" t="s">
        <v>284</v>
      </c>
      <c r="B152" s="15">
        <v>45984</v>
      </c>
      <c r="C152" s="15">
        <v>45987</v>
      </c>
      <c r="D152" t="s">
        <v>83</v>
      </c>
      <c r="E152" t="s">
        <v>84</v>
      </c>
      <c r="F152" t="s">
        <v>154</v>
      </c>
      <c r="G152" t="s">
        <v>86</v>
      </c>
      <c r="H152" t="s">
        <v>103</v>
      </c>
      <c r="I152" s="17">
        <v>2</v>
      </c>
      <c r="J152" s="16">
        <v>0.1</v>
      </c>
      <c r="K152" t="s">
        <v>112</v>
      </c>
      <c r="L152" t="s">
        <v>89</v>
      </c>
      <c r="M152" s="17">
        <v>5</v>
      </c>
      <c r="N152" t="str" cm="1">
        <f t="array" ref="N152">_xlfn.XLOOKUP(RawSalesTable5[[#This Row],[Product_Code]],ProductLookupTable[[#All],[Product_Code]],ProductLookupTable[[#All],[Product_Name]],"NOT FOUND")</f>
        <v>Laptop Stand</v>
      </c>
      <c r="O152" t="str" cm="1">
        <f t="array" ref="O152">_xlfn.XLOOKUP(RawSalesTable5[[#This Row],[Product_Code]],ProductLookupTable[[#All],[Product_Code]],ProductLookupTable[[#All],[Category]],"NOT FOUND")</f>
        <v>Accessories</v>
      </c>
      <c r="P152" cm="1">
        <f t="array" ref="P152">_xlfn.XLOOKUP(RawSalesTable5[[#This Row],[Product_Code]],ProductLookupTable[[#All],[Product_Code]],ProductLookupTable[[#All],[Unit_Price]],"NOT FOUND")</f>
        <v>1899</v>
      </c>
      <c r="Q152" t="str">
        <f>IF(COUNTIF(ProductLookupTable[Product_Code],RawSalesTable5[[#This Row],[Product_Code]])=0,"Missing Product","OK")</f>
        <v>OK</v>
      </c>
      <c r="R152" cm="1">
        <f t="array" ref="R152">_xlfn.XLOOKUP(RawSalesTable5[[#This Row],[Product_Code]],ProductLookupTable[[#All],[Product_Code]],ProductLookupTable[[#All],[Unit_Cost]],"NOT FOUND")</f>
        <v>980</v>
      </c>
      <c r="S152">
        <f>IFERROR(RawSalesTable5[[#This Row],[Quantity]]*RawSalesTable5[[#This Row],[Unit_Price]],"NOT FOUND")</f>
        <v>3798</v>
      </c>
      <c r="T152">
        <f>IFERROR(RawSalesTable5[[#This Row],[Gross_Revenue]]*RawSalesTable5[[#This Row],[Discount_Pct]],"NOT FOUND")</f>
        <v>379.8</v>
      </c>
      <c r="U152">
        <f>IFERROR(RawSalesTable5[[#This Row],[Gross_Revenue]]-RawSalesTable5[[#This Row],[Discount_Value]],"NOT FOUND")</f>
        <v>3418.2</v>
      </c>
      <c r="V152">
        <f>IFERROR(RawSalesTable5[[#This Row],[Quantity]]*RawSalesTable5[[#This Row],[Unit_Cost]],"NOT FOUND")</f>
        <v>1960</v>
      </c>
      <c r="W152">
        <f>IFERROR(RawSalesTable5[[#This Row],[Net_Revenue]]-RawSalesTable5[[#This Row],[Cost]],"NOT FOUND")</f>
        <v>1458.1999999999998</v>
      </c>
      <c r="X152" s="27">
        <f>IF(RawSalesTable5[[#This Row],[Lookup_Status]]="Missing Product","",IFERROR(RawSalesTable5[[#This Row],[Profit]]/RawSalesTable5[[#This Row],[Net_Revenue]],0))</f>
        <v>0.42659879468726225</v>
      </c>
      <c r="Y152">
        <f>RawSalesTable5[[#This Row],[Ship_Date]]-RawSalesTable5[[#This Row],[Order_Date]]</f>
        <v>3</v>
      </c>
      <c r="Z152" s="28">
        <f>DATE(YEAR(RawSalesTable5[[#This Row],[Order_Date]]),MONTH(RawSalesTable5[[#This Row],[Order_Date]]),1)</f>
        <v>45962</v>
      </c>
      <c r="AA152" t="str" cm="1">
        <f t="array" ref="AA152">IF(RawSalesTable5[[#This Row],[Lookup_Status]]="Missing Product","",_xlfn.IFS(RawSalesTable5[[#This Row],[Net_Revenue]]&gt;=20000,"High",RawSalesTable5[[#This Row],[Net_Revenue]]&gt;=10000,"Medium",TRUE,"Low"))</f>
        <v>Low</v>
      </c>
    </row>
    <row r="153" spans="1:27">
      <c r="A153" t="s">
        <v>285</v>
      </c>
      <c r="B153" s="15">
        <v>45927</v>
      </c>
      <c r="C153" s="15">
        <v>45931</v>
      </c>
      <c r="D153" t="s">
        <v>114</v>
      </c>
      <c r="E153" t="s">
        <v>92</v>
      </c>
      <c r="F153" t="s">
        <v>154</v>
      </c>
      <c r="G153" t="s">
        <v>108</v>
      </c>
      <c r="H153" t="s">
        <v>86</v>
      </c>
      <c r="I153" s="17">
        <v>3</v>
      </c>
      <c r="J153" s="16">
        <v>0.1</v>
      </c>
      <c r="K153" t="s">
        <v>112</v>
      </c>
      <c r="L153" t="s">
        <v>89</v>
      </c>
      <c r="M153" s="17">
        <v>4</v>
      </c>
      <c r="N153" t="str" cm="1">
        <f t="array" ref="N153">_xlfn.XLOOKUP(RawSalesTable5[[#This Row],[Product_Code]],ProductLookupTable[[#All],[Product_Code]],ProductLookupTable[[#All],[Product_Name]],"NOT FOUND")</f>
        <v>Laptop Stand</v>
      </c>
      <c r="O153" t="str" cm="1">
        <f t="array" ref="O153">_xlfn.XLOOKUP(RawSalesTable5[[#This Row],[Product_Code]],ProductLookupTable[[#All],[Product_Code]],ProductLookupTable[[#All],[Category]],"NOT FOUND")</f>
        <v>Accessories</v>
      </c>
      <c r="P153" cm="1">
        <f t="array" ref="P153">_xlfn.XLOOKUP(RawSalesTable5[[#This Row],[Product_Code]],ProductLookupTable[[#All],[Product_Code]],ProductLookupTable[[#All],[Unit_Price]],"NOT FOUND")</f>
        <v>1899</v>
      </c>
      <c r="Q153" t="str">
        <f>IF(COUNTIF(ProductLookupTable[Product_Code],RawSalesTable5[[#This Row],[Product_Code]])=0,"Missing Product","OK")</f>
        <v>OK</v>
      </c>
      <c r="R153" cm="1">
        <f t="array" ref="R153">_xlfn.XLOOKUP(RawSalesTable5[[#This Row],[Product_Code]],ProductLookupTable[[#All],[Product_Code]],ProductLookupTable[[#All],[Unit_Cost]],"NOT FOUND")</f>
        <v>980</v>
      </c>
      <c r="S153">
        <f>IFERROR(RawSalesTable5[[#This Row],[Quantity]]*RawSalesTable5[[#This Row],[Unit_Price]],"NOT FOUND")</f>
        <v>5697</v>
      </c>
      <c r="T153">
        <f>IFERROR(RawSalesTable5[[#This Row],[Gross_Revenue]]*RawSalesTable5[[#This Row],[Discount_Pct]],"NOT FOUND")</f>
        <v>569.70000000000005</v>
      </c>
      <c r="U153">
        <f>IFERROR(RawSalesTable5[[#This Row],[Gross_Revenue]]-RawSalesTable5[[#This Row],[Discount_Value]],"NOT FOUND")</f>
        <v>5127.3</v>
      </c>
      <c r="V153">
        <f>IFERROR(RawSalesTable5[[#This Row],[Quantity]]*RawSalesTable5[[#This Row],[Unit_Cost]],"NOT FOUND")</f>
        <v>2940</v>
      </c>
      <c r="W153">
        <f>IFERROR(RawSalesTable5[[#This Row],[Net_Revenue]]-RawSalesTable5[[#This Row],[Cost]],"NOT FOUND")</f>
        <v>2187.3000000000002</v>
      </c>
      <c r="X153" s="27">
        <f>IF(RawSalesTable5[[#This Row],[Lookup_Status]]="Missing Product","",IFERROR(RawSalesTable5[[#This Row],[Profit]]/RawSalesTable5[[#This Row],[Net_Revenue]],0))</f>
        <v>0.42659879468726231</v>
      </c>
      <c r="Y153">
        <f>RawSalesTable5[[#This Row],[Ship_Date]]-RawSalesTable5[[#This Row],[Order_Date]]</f>
        <v>4</v>
      </c>
      <c r="Z153" s="28">
        <f>DATE(YEAR(RawSalesTable5[[#This Row],[Order_Date]]),MONTH(RawSalesTable5[[#This Row],[Order_Date]]),1)</f>
        <v>45901</v>
      </c>
      <c r="AA153" t="str" cm="1">
        <f t="array" ref="AA153">IF(RawSalesTable5[[#This Row],[Lookup_Status]]="Missing Product","",_xlfn.IFS(RawSalesTable5[[#This Row],[Net_Revenue]]&gt;=20000,"High",RawSalesTable5[[#This Row],[Net_Revenue]]&gt;=10000,"Medium",TRUE,"Low"))</f>
        <v>Low</v>
      </c>
    </row>
    <row r="154" spans="1:27">
      <c r="A154" t="s">
        <v>286</v>
      </c>
      <c r="B154" s="15">
        <v>45954</v>
      </c>
      <c r="C154" s="15">
        <v>45958</v>
      </c>
      <c r="D154" t="s">
        <v>157</v>
      </c>
      <c r="E154" t="s">
        <v>98</v>
      </c>
      <c r="F154" t="s">
        <v>147</v>
      </c>
      <c r="G154" t="s">
        <v>86</v>
      </c>
      <c r="H154" t="s">
        <v>86</v>
      </c>
      <c r="I154" s="17">
        <v>3</v>
      </c>
      <c r="J154" s="16">
        <v>0</v>
      </c>
      <c r="K154" t="s">
        <v>112</v>
      </c>
      <c r="L154" t="s">
        <v>89</v>
      </c>
      <c r="M154" s="17">
        <v>4</v>
      </c>
      <c r="N154" t="str" cm="1">
        <f t="array" ref="N154">_xlfn.XLOOKUP(RawSalesTable5[[#This Row],[Product_Code]],ProductLookupTable[[#All],[Product_Code]],ProductLookupTable[[#All],[Product_Name]],"NOT FOUND")</f>
        <v>LED Desk Lamp</v>
      </c>
      <c r="O154" t="str" cm="1">
        <f t="array" ref="O154">_xlfn.XLOOKUP(RawSalesTable5[[#This Row],[Product_Code]],ProductLookupTable[[#All],[Product_Code]],ProductLookupTable[[#All],[Category]],"NOT FOUND")</f>
        <v>Furniture</v>
      </c>
      <c r="P154" cm="1">
        <f t="array" ref="P154">_xlfn.XLOOKUP(RawSalesTable5[[#This Row],[Product_Code]],ProductLookupTable[[#All],[Product_Code]],ProductLookupTable[[#All],[Unit_Price]],"NOT FOUND")</f>
        <v>1999</v>
      </c>
      <c r="Q154" t="str">
        <f>IF(COUNTIF(ProductLookupTable[Product_Code],RawSalesTable5[[#This Row],[Product_Code]])=0,"Missing Product","OK")</f>
        <v>OK</v>
      </c>
      <c r="R154" cm="1">
        <f t="array" ref="R154">_xlfn.XLOOKUP(RawSalesTable5[[#This Row],[Product_Code]],ProductLookupTable[[#All],[Product_Code]],ProductLookupTable[[#All],[Unit_Cost]],"NOT FOUND")</f>
        <v>1050</v>
      </c>
      <c r="S154">
        <f>IFERROR(RawSalesTable5[[#This Row],[Quantity]]*RawSalesTable5[[#This Row],[Unit_Price]],"NOT FOUND")</f>
        <v>5997</v>
      </c>
      <c r="T154">
        <f>IFERROR(RawSalesTable5[[#This Row],[Gross_Revenue]]*RawSalesTable5[[#This Row],[Discount_Pct]],"NOT FOUND")</f>
        <v>0</v>
      </c>
      <c r="U154">
        <f>IFERROR(RawSalesTable5[[#This Row],[Gross_Revenue]]-RawSalesTable5[[#This Row],[Discount_Value]],"NOT FOUND")</f>
        <v>5997</v>
      </c>
      <c r="V154">
        <f>IFERROR(RawSalesTable5[[#This Row],[Quantity]]*RawSalesTable5[[#This Row],[Unit_Cost]],"NOT FOUND")</f>
        <v>3150</v>
      </c>
      <c r="W154">
        <f>IFERROR(RawSalesTable5[[#This Row],[Net_Revenue]]-RawSalesTable5[[#This Row],[Cost]],"NOT FOUND")</f>
        <v>2847</v>
      </c>
      <c r="X154" s="27">
        <f>IF(RawSalesTable5[[#This Row],[Lookup_Status]]="Missing Product","",IFERROR(RawSalesTable5[[#This Row],[Profit]]/RawSalesTable5[[#This Row],[Net_Revenue]],0))</f>
        <v>0.47473736868434219</v>
      </c>
      <c r="Y154">
        <f>RawSalesTable5[[#This Row],[Ship_Date]]-RawSalesTable5[[#This Row],[Order_Date]]</f>
        <v>4</v>
      </c>
      <c r="Z154" s="28">
        <f>DATE(YEAR(RawSalesTable5[[#This Row],[Order_Date]]),MONTH(RawSalesTable5[[#This Row],[Order_Date]]),1)</f>
        <v>45931</v>
      </c>
      <c r="AA154" t="str" cm="1">
        <f t="array" ref="AA154">IF(RawSalesTable5[[#This Row],[Lookup_Status]]="Missing Product","",_xlfn.IFS(RawSalesTable5[[#This Row],[Net_Revenue]]&gt;=20000,"High",RawSalesTable5[[#This Row],[Net_Revenue]]&gt;=10000,"Medium",TRUE,"Low"))</f>
        <v>Low</v>
      </c>
    </row>
    <row r="155" spans="1:27">
      <c r="A155" t="s">
        <v>287</v>
      </c>
      <c r="B155" s="15">
        <v>45694</v>
      </c>
      <c r="C155" s="15">
        <v>45695</v>
      </c>
      <c r="D155" t="s">
        <v>212</v>
      </c>
      <c r="E155" t="s">
        <v>101</v>
      </c>
      <c r="F155" t="s">
        <v>118</v>
      </c>
      <c r="G155" t="s">
        <v>125</v>
      </c>
      <c r="H155" t="s">
        <v>86</v>
      </c>
      <c r="I155" s="17">
        <v>2</v>
      </c>
      <c r="J155" s="16">
        <v>0</v>
      </c>
      <c r="K155" t="s">
        <v>140</v>
      </c>
      <c r="L155" t="s">
        <v>89</v>
      </c>
      <c r="M155" s="17">
        <v>4</v>
      </c>
      <c r="N155" t="str" cm="1">
        <f t="array" ref="N155">_xlfn.XLOOKUP(RawSalesTable5[[#This Row],[Product_Code]],ProductLookupTable[[#All],[Product_Code]],ProductLookupTable[[#All],[Product_Name]],"NOT FOUND")</f>
        <v>Mechanical Keyboard</v>
      </c>
      <c r="O155" t="str" cm="1">
        <f t="array" ref="O155">_xlfn.XLOOKUP(RawSalesTable5[[#This Row],[Product_Code]],ProductLookupTable[[#All],[Product_Code]],ProductLookupTable[[#All],[Category]],"NOT FOUND")</f>
        <v>Accessories</v>
      </c>
      <c r="P155" cm="1">
        <f t="array" ref="P155">_xlfn.XLOOKUP(RawSalesTable5[[#This Row],[Product_Code]],ProductLookupTable[[#All],[Product_Code]],ProductLookupTable[[#All],[Unit_Price]],"NOT FOUND")</f>
        <v>2499</v>
      </c>
      <c r="Q155" t="str">
        <f>IF(COUNTIF(ProductLookupTable[Product_Code],RawSalesTable5[[#This Row],[Product_Code]])=0,"Missing Product","OK")</f>
        <v>OK</v>
      </c>
      <c r="R155" cm="1">
        <f t="array" ref="R155">_xlfn.XLOOKUP(RawSalesTable5[[#This Row],[Product_Code]],ProductLookupTable[[#All],[Product_Code]],ProductLookupTable[[#All],[Unit_Cost]],"NOT FOUND")</f>
        <v>1450</v>
      </c>
      <c r="S155">
        <f>IFERROR(RawSalesTable5[[#This Row],[Quantity]]*RawSalesTable5[[#This Row],[Unit_Price]],"NOT FOUND")</f>
        <v>4998</v>
      </c>
      <c r="T155">
        <f>IFERROR(RawSalesTable5[[#This Row],[Gross_Revenue]]*RawSalesTable5[[#This Row],[Discount_Pct]],"NOT FOUND")</f>
        <v>0</v>
      </c>
      <c r="U155">
        <f>IFERROR(RawSalesTable5[[#This Row],[Gross_Revenue]]-RawSalesTable5[[#This Row],[Discount_Value]],"NOT FOUND")</f>
        <v>4998</v>
      </c>
      <c r="V155">
        <f>IFERROR(RawSalesTable5[[#This Row],[Quantity]]*RawSalesTable5[[#This Row],[Unit_Cost]],"NOT FOUND")</f>
        <v>2900</v>
      </c>
      <c r="W155">
        <f>IFERROR(RawSalesTable5[[#This Row],[Net_Revenue]]-RawSalesTable5[[#This Row],[Cost]],"NOT FOUND")</f>
        <v>2098</v>
      </c>
      <c r="X155" s="27">
        <f>IF(RawSalesTable5[[#This Row],[Lookup_Status]]="Missing Product","",IFERROR(RawSalesTable5[[#This Row],[Profit]]/RawSalesTable5[[#This Row],[Net_Revenue]],0))</f>
        <v>0.41976790716286516</v>
      </c>
      <c r="Y155">
        <f>RawSalesTable5[[#This Row],[Ship_Date]]-RawSalesTable5[[#This Row],[Order_Date]]</f>
        <v>1</v>
      </c>
      <c r="Z155" s="28">
        <f>DATE(YEAR(RawSalesTable5[[#This Row],[Order_Date]]),MONTH(RawSalesTable5[[#This Row],[Order_Date]]),1)</f>
        <v>45689</v>
      </c>
      <c r="AA155" t="str" cm="1">
        <f t="array" ref="AA155">IF(RawSalesTable5[[#This Row],[Lookup_Status]]="Missing Product","",_xlfn.IFS(RawSalesTable5[[#This Row],[Net_Revenue]]&gt;=20000,"High",RawSalesTable5[[#This Row],[Net_Revenue]]&gt;=10000,"Medium",TRUE,"Low"))</f>
        <v>Low</v>
      </c>
    </row>
    <row r="156" spans="1:27">
      <c r="A156" t="s">
        <v>288</v>
      </c>
      <c r="B156" s="15">
        <v>45797</v>
      </c>
      <c r="C156" s="15">
        <v>45804</v>
      </c>
      <c r="D156" t="s">
        <v>123</v>
      </c>
      <c r="E156" t="s">
        <v>106</v>
      </c>
      <c r="F156" t="s">
        <v>154</v>
      </c>
      <c r="G156" t="s">
        <v>125</v>
      </c>
      <c r="H156" t="s">
        <v>86</v>
      </c>
      <c r="I156" s="17">
        <v>1</v>
      </c>
      <c r="J156" s="16">
        <v>0</v>
      </c>
      <c r="K156" t="s">
        <v>140</v>
      </c>
      <c r="L156" t="s">
        <v>89</v>
      </c>
      <c r="M156" s="17">
        <v>3</v>
      </c>
      <c r="N156" t="str" cm="1">
        <f t="array" ref="N156">_xlfn.XLOOKUP(RawSalesTable5[[#This Row],[Product_Code]],ProductLookupTable[[#All],[Product_Code]],ProductLookupTable[[#All],[Product_Name]],"NOT FOUND")</f>
        <v>Laptop Stand</v>
      </c>
      <c r="O156" t="str" cm="1">
        <f t="array" ref="O156">_xlfn.XLOOKUP(RawSalesTable5[[#This Row],[Product_Code]],ProductLookupTable[[#All],[Product_Code]],ProductLookupTable[[#All],[Category]],"NOT FOUND")</f>
        <v>Accessories</v>
      </c>
      <c r="P156" cm="1">
        <f t="array" ref="P156">_xlfn.XLOOKUP(RawSalesTable5[[#This Row],[Product_Code]],ProductLookupTable[[#All],[Product_Code]],ProductLookupTable[[#All],[Unit_Price]],"NOT FOUND")</f>
        <v>1899</v>
      </c>
      <c r="Q156" t="str">
        <f>IF(COUNTIF(ProductLookupTable[Product_Code],RawSalesTable5[[#This Row],[Product_Code]])=0,"Missing Product","OK")</f>
        <v>OK</v>
      </c>
      <c r="R156" cm="1">
        <f t="array" ref="R156">_xlfn.XLOOKUP(RawSalesTable5[[#This Row],[Product_Code]],ProductLookupTable[[#All],[Product_Code]],ProductLookupTable[[#All],[Unit_Cost]],"NOT FOUND")</f>
        <v>980</v>
      </c>
      <c r="S156">
        <f>IFERROR(RawSalesTable5[[#This Row],[Quantity]]*RawSalesTable5[[#This Row],[Unit_Price]],"NOT FOUND")</f>
        <v>1899</v>
      </c>
      <c r="T156">
        <f>IFERROR(RawSalesTable5[[#This Row],[Gross_Revenue]]*RawSalesTable5[[#This Row],[Discount_Pct]],"NOT FOUND")</f>
        <v>0</v>
      </c>
      <c r="U156">
        <f>IFERROR(RawSalesTable5[[#This Row],[Gross_Revenue]]-RawSalesTable5[[#This Row],[Discount_Value]],"NOT FOUND")</f>
        <v>1899</v>
      </c>
      <c r="V156">
        <f>IFERROR(RawSalesTable5[[#This Row],[Quantity]]*RawSalesTable5[[#This Row],[Unit_Cost]],"NOT FOUND")</f>
        <v>980</v>
      </c>
      <c r="W156">
        <f>IFERROR(RawSalesTable5[[#This Row],[Net_Revenue]]-RawSalesTable5[[#This Row],[Cost]],"NOT FOUND")</f>
        <v>919</v>
      </c>
      <c r="X156" s="27">
        <f>IF(RawSalesTable5[[#This Row],[Lookup_Status]]="Missing Product","",IFERROR(RawSalesTable5[[#This Row],[Profit]]/RawSalesTable5[[#This Row],[Net_Revenue]],0))</f>
        <v>0.48393891521853605</v>
      </c>
      <c r="Y156">
        <f>RawSalesTable5[[#This Row],[Ship_Date]]-RawSalesTable5[[#This Row],[Order_Date]]</f>
        <v>7</v>
      </c>
      <c r="Z156" s="28">
        <f>DATE(YEAR(RawSalesTable5[[#This Row],[Order_Date]]),MONTH(RawSalesTable5[[#This Row],[Order_Date]]),1)</f>
        <v>45778</v>
      </c>
      <c r="AA156" t="str" cm="1">
        <f t="array" ref="AA156">IF(RawSalesTable5[[#This Row],[Lookup_Status]]="Missing Product","",_xlfn.IFS(RawSalesTable5[[#This Row],[Net_Revenue]]&gt;=20000,"High",RawSalesTable5[[#This Row],[Net_Revenue]]&gt;=10000,"Medium",TRUE,"Low"))</f>
        <v>Low</v>
      </c>
    </row>
    <row r="157" spans="1:27">
      <c r="A157" t="s">
        <v>289</v>
      </c>
      <c r="B157" s="15">
        <v>45720</v>
      </c>
      <c r="C157" s="15">
        <v>45725</v>
      </c>
      <c r="D157" t="s">
        <v>83</v>
      </c>
      <c r="E157" t="s">
        <v>111</v>
      </c>
      <c r="F157" t="s">
        <v>107</v>
      </c>
      <c r="G157" t="s">
        <v>94</v>
      </c>
      <c r="H157" t="s">
        <v>86</v>
      </c>
      <c r="I157" s="17">
        <v>2</v>
      </c>
      <c r="J157" s="16">
        <v>0</v>
      </c>
      <c r="K157" t="s">
        <v>140</v>
      </c>
      <c r="L157" t="s">
        <v>89</v>
      </c>
      <c r="M157" s="17">
        <v>3</v>
      </c>
      <c r="N157" t="str" cm="1">
        <f t="array" ref="N157">_xlfn.XLOOKUP(RawSalesTable5[[#This Row],[Product_Code]],ProductLookupTable[[#All],[Product_Code]],ProductLookupTable[[#All],[Product_Name]],"NOT FOUND")</f>
        <v>Bluetooth Speaker</v>
      </c>
      <c r="O157" t="str" cm="1">
        <f t="array" ref="O157">_xlfn.XLOOKUP(RawSalesTable5[[#This Row],[Product_Code]],ProductLookupTable[[#All],[Product_Code]],ProductLookupTable[[#All],[Category]],"NOT FOUND")</f>
        <v>Audio</v>
      </c>
      <c r="P157" cm="1">
        <f t="array" ref="P157">_xlfn.XLOOKUP(RawSalesTable5[[#This Row],[Product_Code]],ProductLookupTable[[#All],[Product_Code]],ProductLookupTable[[#All],[Unit_Price]],"NOT FOUND")</f>
        <v>2799</v>
      </c>
      <c r="Q157" t="str">
        <f>IF(COUNTIF(ProductLookupTable[Product_Code],RawSalesTable5[[#This Row],[Product_Code]])=0,"Missing Product","OK")</f>
        <v>OK</v>
      </c>
      <c r="R157" cm="1">
        <f t="array" ref="R157">_xlfn.XLOOKUP(RawSalesTable5[[#This Row],[Product_Code]],ProductLookupTable[[#All],[Product_Code]],ProductLookupTable[[#All],[Unit_Cost]],"NOT FOUND")</f>
        <v>1650</v>
      </c>
      <c r="S157">
        <f>IFERROR(RawSalesTable5[[#This Row],[Quantity]]*RawSalesTable5[[#This Row],[Unit_Price]],"NOT FOUND")</f>
        <v>5598</v>
      </c>
      <c r="T157">
        <f>IFERROR(RawSalesTable5[[#This Row],[Gross_Revenue]]*RawSalesTable5[[#This Row],[Discount_Pct]],"NOT FOUND")</f>
        <v>0</v>
      </c>
      <c r="U157">
        <f>IFERROR(RawSalesTable5[[#This Row],[Gross_Revenue]]-RawSalesTable5[[#This Row],[Discount_Value]],"NOT FOUND")</f>
        <v>5598</v>
      </c>
      <c r="V157">
        <f>IFERROR(RawSalesTable5[[#This Row],[Quantity]]*RawSalesTable5[[#This Row],[Unit_Cost]],"NOT FOUND")</f>
        <v>3300</v>
      </c>
      <c r="W157">
        <f>IFERROR(RawSalesTable5[[#This Row],[Net_Revenue]]-RawSalesTable5[[#This Row],[Cost]],"NOT FOUND")</f>
        <v>2298</v>
      </c>
      <c r="X157" s="27">
        <f>IF(RawSalesTable5[[#This Row],[Lookup_Status]]="Missing Product","",IFERROR(RawSalesTable5[[#This Row],[Profit]]/RawSalesTable5[[#This Row],[Net_Revenue]],0))</f>
        <v>0.41050375133976419</v>
      </c>
      <c r="Y157">
        <f>RawSalesTable5[[#This Row],[Ship_Date]]-RawSalesTable5[[#This Row],[Order_Date]]</f>
        <v>5</v>
      </c>
      <c r="Z157" s="28">
        <f>DATE(YEAR(RawSalesTable5[[#This Row],[Order_Date]]),MONTH(RawSalesTable5[[#This Row],[Order_Date]]),1)</f>
        <v>45717</v>
      </c>
      <c r="AA157" t="str" cm="1">
        <f t="array" ref="AA157">IF(RawSalesTable5[[#This Row],[Lookup_Status]]="Missing Product","",_xlfn.IFS(RawSalesTable5[[#This Row],[Net_Revenue]]&gt;=20000,"High",RawSalesTable5[[#This Row],[Net_Revenue]]&gt;=10000,"Medium",TRUE,"Low"))</f>
        <v>Low</v>
      </c>
    </row>
    <row r="158" spans="1:27">
      <c r="A158" t="s">
        <v>290</v>
      </c>
      <c r="B158" s="15">
        <v>45749</v>
      </c>
      <c r="C158" s="15">
        <v>45756</v>
      </c>
      <c r="D158" t="s">
        <v>114</v>
      </c>
      <c r="E158" t="s">
        <v>84</v>
      </c>
      <c r="F158" t="s">
        <v>147</v>
      </c>
      <c r="G158" t="s">
        <v>125</v>
      </c>
      <c r="H158" t="s">
        <v>86</v>
      </c>
      <c r="I158" s="17">
        <v>2</v>
      </c>
      <c r="J158" s="16">
        <v>0.15</v>
      </c>
      <c r="K158" t="s">
        <v>112</v>
      </c>
      <c r="L158" t="s">
        <v>89</v>
      </c>
      <c r="M158" s="17">
        <v>4</v>
      </c>
      <c r="N158" t="str" cm="1">
        <f t="array" ref="N158">_xlfn.XLOOKUP(RawSalesTable5[[#This Row],[Product_Code]],ProductLookupTable[[#All],[Product_Code]],ProductLookupTable[[#All],[Product_Name]],"NOT FOUND")</f>
        <v>LED Desk Lamp</v>
      </c>
      <c r="O158" t="str" cm="1">
        <f t="array" ref="O158">_xlfn.XLOOKUP(RawSalesTable5[[#This Row],[Product_Code]],ProductLookupTable[[#All],[Product_Code]],ProductLookupTable[[#All],[Category]],"NOT FOUND")</f>
        <v>Furniture</v>
      </c>
      <c r="P158" cm="1">
        <f t="array" ref="P158">_xlfn.XLOOKUP(RawSalesTable5[[#This Row],[Product_Code]],ProductLookupTable[[#All],[Product_Code]],ProductLookupTable[[#All],[Unit_Price]],"NOT FOUND")</f>
        <v>1999</v>
      </c>
      <c r="Q158" t="str">
        <f>IF(COUNTIF(ProductLookupTable[Product_Code],RawSalesTable5[[#This Row],[Product_Code]])=0,"Missing Product","OK")</f>
        <v>OK</v>
      </c>
      <c r="R158" cm="1">
        <f t="array" ref="R158">_xlfn.XLOOKUP(RawSalesTable5[[#This Row],[Product_Code]],ProductLookupTable[[#All],[Product_Code]],ProductLookupTable[[#All],[Unit_Cost]],"NOT FOUND")</f>
        <v>1050</v>
      </c>
      <c r="S158">
        <f>IFERROR(RawSalesTable5[[#This Row],[Quantity]]*RawSalesTable5[[#This Row],[Unit_Price]],"NOT FOUND")</f>
        <v>3998</v>
      </c>
      <c r="T158">
        <f>IFERROR(RawSalesTable5[[#This Row],[Gross_Revenue]]*RawSalesTable5[[#This Row],[Discount_Pct]],"NOT FOUND")</f>
        <v>599.69999999999993</v>
      </c>
      <c r="U158">
        <f>IFERROR(RawSalesTable5[[#This Row],[Gross_Revenue]]-RawSalesTable5[[#This Row],[Discount_Value]],"NOT FOUND")</f>
        <v>3398.3</v>
      </c>
      <c r="V158">
        <f>IFERROR(RawSalesTable5[[#This Row],[Quantity]]*RawSalesTable5[[#This Row],[Unit_Cost]],"NOT FOUND")</f>
        <v>2100</v>
      </c>
      <c r="W158">
        <f>IFERROR(RawSalesTable5[[#This Row],[Net_Revenue]]-RawSalesTable5[[#This Row],[Cost]],"NOT FOUND")</f>
        <v>1298.3000000000002</v>
      </c>
      <c r="X158" s="27">
        <f>IF(RawSalesTable5[[#This Row],[Lookup_Status]]="Missing Product","",IFERROR(RawSalesTable5[[#This Row],[Profit]]/RawSalesTable5[[#This Row],[Net_Revenue]],0))</f>
        <v>0.38204396315804967</v>
      </c>
      <c r="Y158">
        <f>RawSalesTable5[[#This Row],[Ship_Date]]-RawSalesTable5[[#This Row],[Order_Date]]</f>
        <v>7</v>
      </c>
      <c r="Z158" s="28">
        <f>DATE(YEAR(RawSalesTable5[[#This Row],[Order_Date]]),MONTH(RawSalesTable5[[#This Row],[Order_Date]]),1)</f>
        <v>45748</v>
      </c>
      <c r="AA158" t="str" cm="1">
        <f t="array" ref="AA158">IF(RawSalesTable5[[#This Row],[Lookup_Status]]="Missing Product","",_xlfn.IFS(RawSalesTable5[[#This Row],[Net_Revenue]]&gt;=20000,"High",RawSalesTable5[[#This Row],[Net_Revenue]]&gt;=10000,"Medium",TRUE,"Low"))</f>
        <v>Low</v>
      </c>
    </row>
    <row r="159" spans="1:27">
      <c r="A159" t="s">
        <v>291</v>
      </c>
      <c r="B159" s="15">
        <v>45753</v>
      </c>
      <c r="C159" s="15">
        <v>45761</v>
      </c>
      <c r="D159" t="s">
        <v>157</v>
      </c>
      <c r="E159" t="s">
        <v>92</v>
      </c>
      <c r="F159" t="s">
        <v>85</v>
      </c>
      <c r="G159" t="s">
        <v>94</v>
      </c>
      <c r="H159" t="s">
        <v>87</v>
      </c>
      <c r="I159" s="17">
        <v>4</v>
      </c>
      <c r="J159" s="16">
        <v>0.1</v>
      </c>
      <c r="K159" t="s">
        <v>88</v>
      </c>
      <c r="L159" t="s">
        <v>89</v>
      </c>
      <c r="M159" s="17">
        <v>5</v>
      </c>
      <c r="N159" t="str" cm="1">
        <f t="array" ref="N159">_xlfn.XLOOKUP(RawSalesTable5[[#This Row],[Product_Code]],ProductLookupTable[[#All],[Product_Code]],ProductLookupTable[[#All],[Product_Name]],"NOT FOUND")</f>
        <v>Ergonomic Chair</v>
      </c>
      <c r="O159" t="str" cm="1">
        <f t="array" ref="O159">_xlfn.XLOOKUP(RawSalesTable5[[#This Row],[Product_Code]],ProductLookupTable[[#All],[Product_Code]],ProductLookupTable[[#All],[Category]],"NOT FOUND")</f>
        <v>Furniture</v>
      </c>
      <c r="P159" cm="1">
        <f t="array" ref="P159">_xlfn.XLOOKUP(RawSalesTable5[[#This Row],[Product_Code]],ProductLookupTable[[#All],[Product_Code]],ProductLookupTable[[#All],[Unit_Price]],"NOT FOUND")</f>
        <v>10499</v>
      </c>
      <c r="Q159" t="str">
        <f>IF(COUNTIF(ProductLookupTable[Product_Code],RawSalesTable5[[#This Row],[Product_Code]])=0,"Missing Product","OK")</f>
        <v>OK</v>
      </c>
      <c r="R159" cm="1">
        <f t="array" ref="R159">_xlfn.XLOOKUP(RawSalesTable5[[#This Row],[Product_Code]],ProductLookupTable[[#All],[Product_Code]],ProductLookupTable[[#All],[Unit_Cost]],"NOT FOUND")</f>
        <v>7600</v>
      </c>
      <c r="S159">
        <f>IFERROR(RawSalesTable5[[#This Row],[Quantity]]*RawSalesTable5[[#This Row],[Unit_Price]],"NOT FOUND")</f>
        <v>41996</v>
      </c>
      <c r="T159">
        <f>IFERROR(RawSalesTable5[[#This Row],[Gross_Revenue]]*RawSalesTable5[[#This Row],[Discount_Pct]],"NOT FOUND")</f>
        <v>4199.6000000000004</v>
      </c>
      <c r="U159">
        <f>IFERROR(RawSalesTable5[[#This Row],[Gross_Revenue]]-RawSalesTable5[[#This Row],[Discount_Value]],"NOT FOUND")</f>
        <v>37796.400000000001</v>
      </c>
      <c r="V159">
        <f>IFERROR(RawSalesTable5[[#This Row],[Quantity]]*RawSalesTable5[[#This Row],[Unit_Cost]],"NOT FOUND")</f>
        <v>30400</v>
      </c>
      <c r="W159">
        <f>IFERROR(RawSalesTable5[[#This Row],[Net_Revenue]]-RawSalesTable5[[#This Row],[Cost]],"NOT FOUND")</f>
        <v>7396.4000000000015</v>
      </c>
      <c r="X159" s="27">
        <f>IF(RawSalesTable5[[#This Row],[Lookup_Status]]="Missing Product","",IFERROR(RawSalesTable5[[#This Row],[Profit]]/RawSalesTable5[[#This Row],[Net_Revenue]],0))</f>
        <v>0.19569059487146928</v>
      </c>
      <c r="Y159">
        <f>RawSalesTable5[[#This Row],[Ship_Date]]-RawSalesTable5[[#This Row],[Order_Date]]</f>
        <v>8</v>
      </c>
      <c r="Z159" s="28">
        <f>DATE(YEAR(RawSalesTable5[[#This Row],[Order_Date]]),MONTH(RawSalesTable5[[#This Row],[Order_Date]]),1)</f>
        <v>45748</v>
      </c>
      <c r="AA159" t="str" cm="1">
        <f t="array" ref="AA159">IF(RawSalesTable5[[#This Row],[Lookup_Status]]="Missing Product","",_xlfn.IFS(RawSalesTable5[[#This Row],[Net_Revenue]]&gt;=20000,"High",RawSalesTable5[[#This Row],[Net_Revenue]]&gt;=10000,"Medium",TRUE,"Low"))</f>
        <v>High</v>
      </c>
    </row>
    <row r="160" spans="1:27">
      <c r="A160" t="s">
        <v>292</v>
      </c>
      <c r="B160" s="15">
        <v>45667</v>
      </c>
      <c r="C160" s="15">
        <v>45669</v>
      </c>
      <c r="D160" t="s">
        <v>212</v>
      </c>
      <c r="E160" t="s">
        <v>98</v>
      </c>
      <c r="F160" t="s">
        <v>124</v>
      </c>
      <c r="G160" t="s">
        <v>86</v>
      </c>
      <c r="H160" t="s">
        <v>87</v>
      </c>
      <c r="I160" s="17">
        <v>3</v>
      </c>
      <c r="J160" s="16">
        <v>0.2</v>
      </c>
      <c r="K160" t="s">
        <v>119</v>
      </c>
      <c r="L160" t="s">
        <v>89</v>
      </c>
      <c r="M160" s="17">
        <v>3</v>
      </c>
      <c r="N160" t="str" cm="1">
        <f t="array" ref="N160">_xlfn.XLOOKUP(RawSalesTable5[[#This Row],[Product_Code]],ProductLookupTable[[#All],[Product_Code]],ProductLookupTable[[#All],[Product_Name]],"NOT FOUND")</f>
        <v>Wireless Mouse</v>
      </c>
      <c r="O160" t="str" cm="1">
        <f t="array" ref="O160">_xlfn.XLOOKUP(RawSalesTable5[[#This Row],[Product_Code]],ProductLookupTable[[#All],[Product_Code]],ProductLookupTable[[#All],[Category]],"NOT FOUND")</f>
        <v>Accessories</v>
      </c>
      <c r="P160" cm="1">
        <f t="array" ref="P160">_xlfn.XLOOKUP(RawSalesTable5[[#This Row],[Product_Code]],ProductLookupTable[[#All],[Product_Code]],ProductLookupTable[[#All],[Unit_Price]],"NOT FOUND")</f>
        <v>799</v>
      </c>
      <c r="Q160" t="str">
        <f>IF(COUNTIF(ProductLookupTable[Product_Code],RawSalesTable5[[#This Row],[Product_Code]])=0,"Missing Product","OK")</f>
        <v>OK</v>
      </c>
      <c r="R160" cm="1">
        <f t="array" ref="R160">_xlfn.XLOOKUP(RawSalesTable5[[#This Row],[Product_Code]],ProductLookupTable[[#All],[Product_Code]],ProductLookupTable[[#All],[Unit_Cost]],"NOT FOUND")</f>
        <v>420</v>
      </c>
      <c r="S160">
        <f>IFERROR(RawSalesTable5[[#This Row],[Quantity]]*RawSalesTable5[[#This Row],[Unit_Price]],"NOT FOUND")</f>
        <v>2397</v>
      </c>
      <c r="T160">
        <f>IFERROR(RawSalesTable5[[#This Row],[Gross_Revenue]]*RawSalesTable5[[#This Row],[Discount_Pct]],"NOT FOUND")</f>
        <v>479.40000000000003</v>
      </c>
      <c r="U160">
        <f>IFERROR(RawSalesTable5[[#This Row],[Gross_Revenue]]-RawSalesTable5[[#This Row],[Discount_Value]],"NOT FOUND")</f>
        <v>1917.6</v>
      </c>
      <c r="V160">
        <f>IFERROR(RawSalesTable5[[#This Row],[Quantity]]*RawSalesTable5[[#This Row],[Unit_Cost]],"NOT FOUND")</f>
        <v>1260</v>
      </c>
      <c r="W160">
        <f>IFERROR(RawSalesTable5[[#This Row],[Net_Revenue]]-RawSalesTable5[[#This Row],[Cost]],"NOT FOUND")</f>
        <v>657.59999999999991</v>
      </c>
      <c r="X160" s="27">
        <f>IF(RawSalesTable5[[#This Row],[Lookup_Status]]="Missing Product","",IFERROR(RawSalesTable5[[#This Row],[Profit]]/RawSalesTable5[[#This Row],[Net_Revenue]],0))</f>
        <v>0.34292866082603252</v>
      </c>
      <c r="Y160">
        <f>RawSalesTable5[[#This Row],[Ship_Date]]-RawSalesTable5[[#This Row],[Order_Date]]</f>
        <v>2</v>
      </c>
      <c r="Z160" s="28">
        <f>DATE(YEAR(RawSalesTable5[[#This Row],[Order_Date]]),MONTH(RawSalesTable5[[#This Row],[Order_Date]]),1)</f>
        <v>45658</v>
      </c>
      <c r="AA160" t="str" cm="1">
        <f t="array" ref="AA160">IF(RawSalesTable5[[#This Row],[Lookup_Status]]="Missing Product","",_xlfn.IFS(RawSalesTable5[[#This Row],[Net_Revenue]]&gt;=20000,"High",RawSalesTable5[[#This Row],[Net_Revenue]]&gt;=10000,"Medium",TRUE,"Low"))</f>
        <v>Low</v>
      </c>
    </row>
    <row r="161" spans="1:27">
      <c r="A161" t="s">
        <v>293</v>
      </c>
      <c r="B161" s="15">
        <v>45905</v>
      </c>
      <c r="C161" s="15">
        <v>45909</v>
      </c>
      <c r="D161" t="s">
        <v>123</v>
      </c>
      <c r="E161" t="s">
        <v>101</v>
      </c>
      <c r="F161" t="s">
        <v>115</v>
      </c>
      <c r="G161" t="s">
        <v>108</v>
      </c>
      <c r="H161" t="s">
        <v>103</v>
      </c>
      <c r="I161" s="17">
        <v>1</v>
      </c>
      <c r="J161" s="16">
        <v>0</v>
      </c>
      <c r="K161" t="s">
        <v>112</v>
      </c>
      <c r="L161" t="s">
        <v>89</v>
      </c>
      <c r="M161" s="17">
        <v>5</v>
      </c>
      <c r="N161" t="str" cm="1">
        <f t="array" ref="N161">_xlfn.XLOOKUP(RawSalesTable5[[#This Row],[Product_Code]],ProductLookupTable[[#All],[Product_Code]],ProductLookupTable[[#All],[Product_Name]],"NOT FOUND")</f>
        <v>USB-C Hub</v>
      </c>
      <c r="O161" t="str" cm="1">
        <f t="array" ref="O161">_xlfn.XLOOKUP(RawSalesTable5[[#This Row],[Product_Code]],ProductLookupTable[[#All],[Product_Code]],ProductLookupTable[[#All],[Category]],"NOT FOUND")</f>
        <v>Accessories</v>
      </c>
      <c r="P161" cm="1">
        <f t="array" ref="P161">_xlfn.XLOOKUP(RawSalesTable5[[#This Row],[Product_Code]],ProductLookupTable[[#All],[Product_Code]],ProductLookupTable[[#All],[Unit_Price]],"NOT FOUND")</f>
        <v>1599</v>
      </c>
      <c r="Q161" t="str">
        <f>IF(COUNTIF(ProductLookupTable[Product_Code],RawSalesTable5[[#This Row],[Product_Code]])=0,"Missing Product","OK")</f>
        <v>OK</v>
      </c>
      <c r="R161" cm="1">
        <f t="array" ref="R161">_xlfn.XLOOKUP(RawSalesTable5[[#This Row],[Product_Code]],ProductLookupTable[[#All],[Product_Code]],ProductLookupTable[[#All],[Unit_Cost]],"NOT FOUND")</f>
        <v>870</v>
      </c>
      <c r="S161">
        <f>IFERROR(RawSalesTable5[[#This Row],[Quantity]]*RawSalesTable5[[#This Row],[Unit_Price]],"NOT FOUND")</f>
        <v>1599</v>
      </c>
      <c r="T161">
        <f>IFERROR(RawSalesTable5[[#This Row],[Gross_Revenue]]*RawSalesTable5[[#This Row],[Discount_Pct]],"NOT FOUND")</f>
        <v>0</v>
      </c>
      <c r="U161">
        <f>IFERROR(RawSalesTable5[[#This Row],[Gross_Revenue]]-RawSalesTable5[[#This Row],[Discount_Value]],"NOT FOUND")</f>
        <v>1599</v>
      </c>
      <c r="V161">
        <f>IFERROR(RawSalesTable5[[#This Row],[Quantity]]*RawSalesTable5[[#This Row],[Unit_Cost]],"NOT FOUND")</f>
        <v>870</v>
      </c>
      <c r="W161">
        <f>IFERROR(RawSalesTable5[[#This Row],[Net_Revenue]]-RawSalesTable5[[#This Row],[Cost]],"NOT FOUND")</f>
        <v>729</v>
      </c>
      <c r="X161" s="27">
        <f>IF(RawSalesTable5[[#This Row],[Lookup_Status]]="Missing Product","",IFERROR(RawSalesTable5[[#This Row],[Profit]]/RawSalesTable5[[#This Row],[Net_Revenue]],0))</f>
        <v>0.45590994371482174</v>
      </c>
      <c r="Y161">
        <f>RawSalesTable5[[#This Row],[Ship_Date]]-RawSalesTable5[[#This Row],[Order_Date]]</f>
        <v>4</v>
      </c>
      <c r="Z161" s="28">
        <f>DATE(YEAR(RawSalesTable5[[#This Row],[Order_Date]]),MONTH(RawSalesTable5[[#This Row],[Order_Date]]),1)</f>
        <v>45901</v>
      </c>
      <c r="AA161" t="str" cm="1">
        <f t="array" ref="AA161">IF(RawSalesTable5[[#This Row],[Lookup_Status]]="Missing Product","",_xlfn.IFS(RawSalesTable5[[#This Row],[Net_Revenue]]&gt;=20000,"High",RawSalesTable5[[#This Row],[Net_Revenue]]&gt;=10000,"Medium",TRUE,"Low"))</f>
        <v>Low</v>
      </c>
    </row>
    <row r="162" spans="1:27">
      <c r="A162" t="s">
        <v>294</v>
      </c>
      <c r="B162" s="15">
        <v>45702</v>
      </c>
      <c r="C162" s="15">
        <v>45705</v>
      </c>
      <c r="D162" t="s">
        <v>83</v>
      </c>
      <c r="E162" t="s">
        <v>106</v>
      </c>
      <c r="F162" t="s">
        <v>124</v>
      </c>
      <c r="G162" t="s">
        <v>94</v>
      </c>
      <c r="H162" t="s">
        <v>87</v>
      </c>
      <c r="I162" s="17">
        <v>3</v>
      </c>
      <c r="J162" s="16">
        <v>0</v>
      </c>
      <c r="K162" t="s">
        <v>140</v>
      </c>
      <c r="L162" t="s">
        <v>89</v>
      </c>
      <c r="M162" s="17">
        <v>5</v>
      </c>
      <c r="N162" t="str" cm="1">
        <f t="array" ref="N162">_xlfn.XLOOKUP(RawSalesTable5[[#This Row],[Product_Code]],ProductLookupTable[[#All],[Product_Code]],ProductLookupTable[[#All],[Product_Name]],"NOT FOUND")</f>
        <v>Wireless Mouse</v>
      </c>
      <c r="O162" t="str" cm="1">
        <f t="array" ref="O162">_xlfn.XLOOKUP(RawSalesTable5[[#This Row],[Product_Code]],ProductLookupTable[[#All],[Product_Code]],ProductLookupTable[[#All],[Category]],"NOT FOUND")</f>
        <v>Accessories</v>
      </c>
      <c r="P162" cm="1">
        <f t="array" ref="P162">_xlfn.XLOOKUP(RawSalesTable5[[#This Row],[Product_Code]],ProductLookupTable[[#All],[Product_Code]],ProductLookupTable[[#All],[Unit_Price]],"NOT FOUND")</f>
        <v>799</v>
      </c>
      <c r="Q162" t="str">
        <f>IF(COUNTIF(ProductLookupTable[Product_Code],RawSalesTable5[[#This Row],[Product_Code]])=0,"Missing Product","OK")</f>
        <v>OK</v>
      </c>
      <c r="R162" cm="1">
        <f t="array" ref="R162">_xlfn.XLOOKUP(RawSalesTable5[[#This Row],[Product_Code]],ProductLookupTable[[#All],[Product_Code]],ProductLookupTable[[#All],[Unit_Cost]],"NOT FOUND")</f>
        <v>420</v>
      </c>
      <c r="S162">
        <f>IFERROR(RawSalesTable5[[#This Row],[Quantity]]*RawSalesTable5[[#This Row],[Unit_Price]],"NOT FOUND")</f>
        <v>2397</v>
      </c>
      <c r="T162">
        <f>IFERROR(RawSalesTable5[[#This Row],[Gross_Revenue]]*RawSalesTable5[[#This Row],[Discount_Pct]],"NOT FOUND")</f>
        <v>0</v>
      </c>
      <c r="U162">
        <f>IFERROR(RawSalesTable5[[#This Row],[Gross_Revenue]]-RawSalesTable5[[#This Row],[Discount_Value]],"NOT FOUND")</f>
        <v>2397</v>
      </c>
      <c r="V162">
        <f>IFERROR(RawSalesTable5[[#This Row],[Quantity]]*RawSalesTable5[[#This Row],[Unit_Cost]],"NOT FOUND")</f>
        <v>1260</v>
      </c>
      <c r="W162">
        <f>IFERROR(RawSalesTable5[[#This Row],[Net_Revenue]]-RawSalesTable5[[#This Row],[Cost]],"NOT FOUND")</f>
        <v>1137</v>
      </c>
      <c r="X162" s="27">
        <f>IF(RawSalesTable5[[#This Row],[Lookup_Status]]="Missing Product","",IFERROR(RawSalesTable5[[#This Row],[Profit]]/RawSalesTable5[[#This Row],[Net_Revenue]],0))</f>
        <v>0.47434292866082606</v>
      </c>
      <c r="Y162">
        <f>RawSalesTable5[[#This Row],[Ship_Date]]-RawSalesTable5[[#This Row],[Order_Date]]</f>
        <v>3</v>
      </c>
      <c r="Z162" s="28">
        <f>DATE(YEAR(RawSalesTable5[[#This Row],[Order_Date]]),MONTH(RawSalesTable5[[#This Row],[Order_Date]]),1)</f>
        <v>45689</v>
      </c>
      <c r="AA162" t="str" cm="1">
        <f t="array" ref="AA162">IF(RawSalesTable5[[#This Row],[Lookup_Status]]="Missing Product","",_xlfn.IFS(RawSalesTable5[[#This Row],[Net_Revenue]]&gt;=20000,"High",RawSalesTable5[[#This Row],[Net_Revenue]]&gt;=10000,"Medium",TRUE,"Low"))</f>
        <v>Low</v>
      </c>
    </row>
    <row r="163" spans="1:27">
      <c r="A163" t="s">
        <v>295</v>
      </c>
      <c r="B163" s="15">
        <v>45689</v>
      </c>
      <c r="C163" s="15">
        <v>45691</v>
      </c>
      <c r="D163" t="s">
        <v>114</v>
      </c>
      <c r="E163" t="s">
        <v>111</v>
      </c>
      <c r="F163" t="s">
        <v>85</v>
      </c>
      <c r="G163" t="s">
        <v>125</v>
      </c>
      <c r="H163" t="s">
        <v>87</v>
      </c>
      <c r="I163" s="17">
        <v>1</v>
      </c>
      <c r="J163" s="16">
        <v>0</v>
      </c>
      <c r="K163" t="s">
        <v>88</v>
      </c>
      <c r="L163" t="s">
        <v>89</v>
      </c>
      <c r="M163" s="17">
        <v>3</v>
      </c>
      <c r="N163" t="str" cm="1">
        <f t="array" ref="N163">_xlfn.XLOOKUP(RawSalesTable5[[#This Row],[Product_Code]],ProductLookupTable[[#All],[Product_Code]],ProductLookupTable[[#All],[Product_Name]],"NOT FOUND")</f>
        <v>Ergonomic Chair</v>
      </c>
      <c r="O163" t="str" cm="1">
        <f t="array" ref="O163">_xlfn.XLOOKUP(RawSalesTable5[[#This Row],[Product_Code]],ProductLookupTable[[#All],[Product_Code]],ProductLookupTable[[#All],[Category]],"NOT FOUND")</f>
        <v>Furniture</v>
      </c>
      <c r="P163" cm="1">
        <f t="array" ref="P163">_xlfn.XLOOKUP(RawSalesTable5[[#This Row],[Product_Code]],ProductLookupTable[[#All],[Product_Code]],ProductLookupTable[[#All],[Unit_Price]],"NOT FOUND")</f>
        <v>10499</v>
      </c>
      <c r="Q163" t="str">
        <f>IF(COUNTIF(ProductLookupTable[Product_Code],RawSalesTable5[[#This Row],[Product_Code]])=0,"Missing Product","OK")</f>
        <v>OK</v>
      </c>
      <c r="R163" cm="1">
        <f t="array" ref="R163">_xlfn.XLOOKUP(RawSalesTable5[[#This Row],[Product_Code]],ProductLookupTable[[#All],[Product_Code]],ProductLookupTable[[#All],[Unit_Cost]],"NOT FOUND")</f>
        <v>7600</v>
      </c>
      <c r="S163">
        <f>IFERROR(RawSalesTable5[[#This Row],[Quantity]]*RawSalesTable5[[#This Row],[Unit_Price]],"NOT FOUND")</f>
        <v>10499</v>
      </c>
      <c r="T163">
        <f>IFERROR(RawSalesTable5[[#This Row],[Gross_Revenue]]*RawSalesTable5[[#This Row],[Discount_Pct]],"NOT FOUND")</f>
        <v>0</v>
      </c>
      <c r="U163">
        <f>IFERROR(RawSalesTable5[[#This Row],[Gross_Revenue]]-RawSalesTable5[[#This Row],[Discount_Value]],"NOT FOUND")</f>
        <v>10499</v>
      </c>
      <c r="V163">
        <f>IFERROR(RawSalesTable5[[#This Row],[Quantity]]*RawSalesTable5[[#This Row],[Unit_Cost]],"NOT FOUND")</f>
        <v>7600</v>
      </c>
      <c r="W163">
        <f>IFERROR(RawSalesTable5[[#This Row],[Net_Revenue]]-RawSalesTable5[[#This Row],[Cost]],"NOT FOUND")</f>
        <v>2899</v>
      </c>
      <c r="X163" s="27">
        <f>IF(RawSalesTable5[[#This Row],[Lookup_Status]]="Missing Product","",IFERROR(RawSalesTable5[[#This Row],[Profit]]/RawSalesTable5[[#This Row],[Net_Revenue]],0))</f>
        <v>0.27612153538432233</v>
      </c>
      <c r="Y163">
        <f>RawSalesTable5[[#This Row],[Ship_Date]]-RawSalesTable5[[#This Row],[Order_Date]]</f>
        <v>2</v>
      </c>
      <c r="Z163" s="28">
        <f>DATE(YEAR(RawSalesTable5[[#This Row],[Order_Date]]),MONTH(RawSalesTable5[[#This Row],[Order_Date]]),1)</f>
        <v>45689</v>
      </c>
      <c r="AA163" t="str" cm="1">
        <f t="array" ref="AA163">IF(RawSalesTable5[[#This Row],[Lookup_Status]]="Missing Product","",_xlfn.IFS(RawSalesTable5[[#This Row],[Net_Revenue]]&gt;=20000,"High",RawSalesTable5[[#This Row],[Net_Revenue]]&gt;=10000,"Medium",TRUE,"Low"))</f>
        <v>Medium</v>
      </c>
    </row>
    <row r="164" spans="1:27">
      <c r="A164" t="s">
        <v>296</v>
      </c>
      <c r="B164" s="15">
        <v>45683</v>
      </c>
      <c r="C164" s="15">
        <v>45686</v>
      </c>
      <c r="D164" t="s">
        <v>157</v>
      </c>
      <c r="E164" t="s">
        <v>84</v>
      </c>
      <c r="F164" t="s">
        <v>147</v>
      </c>
      <c r="G164" t="s">
        <v>86</v>
      </c>
      <c r="H164" t="s">
        <v>103</v>
      </c>
      <c r="I164" s="17">
        <v>2</v>
      </c>
      <c r="J164" s="16">
        <v>0.15</v>
      </c>
      <c r="K164" t="s">
        <v>112</v>
      </c>
      <c r="L164" t="s">
        <v>126</v>
      </c>
      <c r="M164" s="17">
        <v>2</v>
      </c>
      <c r="N164" t="str" cm="1">
        <f t="array" ref="N164">_xlfn.XLOOKUP(RawSalesTable5[[#This Row],[Product_Code]],ProductLookupTable[[#All],[Product_Code]],ProductLookupTable[[#All],[Product_Name]],"NOT FOUND")</f>
        <v>LED Desk Lamp</v>
      </c>
      <c r="O164" t="str" cm="1">
        <f t="array" ref="O164">_xlfn.XLOOKUP(RawSalesTable5[[#This Row],[Product_Code]],ProductLookupTable[[#All],[Product_Code]],ProductLookupTable[[#All],[Category]],"NOT FOUND")</f>
        <v>Furniture</v>
      </c>
      <c r="P164" cm="1">
        <f t="array" ref="P164">_xlfn.XLOOKUP(RawSalesTable5[[#This Row],[Product_Code]],ProductLookupTable[[#All],[Product_Code]],ProductLookupTable[[#All],[Unit_Price]],"NOT FOUND")</f>
        <v>1999</v>
      </c>
      <c r="Q164" t="str">
        <f>IF(COUNTIF(ProductLookupTable[Product_Code],RawSalesTable5[[#This Row],[Product_Code]])=0,"Missing Product","OK")</f>
        <v>OK</v>
      </c>
      <c r="R164" cm="1">
        <f t="array" ref="R164">_xlfn.XLOOKUP(RawSalesTable5[[#This Row],[Product_Code]],ProductLookupTable[[#All],[Product_Code]],ProductLookupTable[[#All],[Unit_Cost]],"NOT FOUND")</f>
        <v>1050</v>
      </c>
      <c r="S164">
        <f>IFERROR(RawSalesTable5[[#This Row],[Quantity]]*RawSalesTable5[[#This Row],[Unit_Price]],"NOT FOUND")</f>
        <v>3998</v>
      </c>
      <c r="T164">
        <f>IFERROR(RawSalesTable5[[#This Row],[Gross_Revenue]]*RawSalesTable5[[#This Row],[Discount_Pct]],"NOT FOUND")</f>
        <v>599.69999999999993</v>
      </c>
      <c r="U164">
        <f>IFERROR(RawSalesTable5[[#This Row],[Gross_Revenue]]-RawSalesTable5[[#This Row],[Discount_Value]],"NOT FOUND")</f>
        <v>3398.3</v>
      </c>
      <c r="V164">
        <f>IFERROR(RawSalesTable5[[#This Row],[Quantity]]*RawSalesTable5[[#This Row],[Unit_Cost]],"NOT FOUND")</f>
        <v>2100</v>
      </c>
      <c r="W164">
        <f>IFERROR(RawSalesTable5[[#This Row],[Net_Revenue]]-RawSalesTable5[[#This Row],[Cost]],"NOT FOUND")</f>
        <v>1298.3000000000002</v>
      </c>
      <c r="X164" s="27">
        <f>IF(RawSalesTable5[[#This Row],[Lookup_Status]]="Missing Product","",IFERROR(RawSalesTable5[[#This Row],[Profit]]/RawSalesTable5[[#This Row],[Net_Revenue]],0))</f>
        <v>0.38204396315804967</v>
      </c>
      <c r="Y164">
        <f>RawSalesTable5[[#This Row],[Ship_Date]]-RawSalesTable5[[#This Row],[Order_Date]]</f>
        <v>3</v>
      </c>
      <c r="Z164" s="28">
        <f>DATE(YEAR(RawSalesTable5[[#This Row],[Order_Date]]),MONTH(RawSalesTable5[[#This Row],[Order_Date]]),1)</f>
        <v>45658</v>
      </c>
      <c r="AA164" t="str" cm="1">
        <f t="array" ref="AA164">IF(RawSalesTable5[[#This Row],[Lookup_Status]]="Missing Product","",_xlfn.IFS(RawSalesTable5[[#This Row],[Net_Revenue]]&gt;=20000,"High",RawSalesTable5[[#This Row],[Net_Revenue]]&gt;=10000,"Medium",TRUE,"Low"))</f>
        <v>Low</v>
      </c>
    </row>
    <row r="165" spans="1:27">
      <c r="A165" t="s">
        <v>297</v>
      </c>
      <c r="B165" s="15">
        <v>45973</v>
      </c>
      <c r="C165" s="15">
        <v>45976</v>
      </c>
      <c r="D165" t="s">
        <v>212</v>
      </c>
      <c r="E165" t="s">
        <v>92</v>
      </c>
      <c r="F165" t="s">
        <v>121</v>
      </c>
      <c r="G165" t="s">
        <v>125</v>
      </c>
      <c r="H165" t="s">
        <v>87</v>
      </c>
      <c r="I165" s="17">
        <v>5</v>
      </c>
      <c r="J165" s="16">
        <v>0.1</v>
      </c>
      <c r="K165" t="s">
        <v>119</v>
      </c>
      <c r="L165" t="s">
        <v>89</v>
      </c>
      <c r="M165" s="17">
        <v>5</v>
      </c>
      <c r="N165" t="str" cm="1">
        <f t="array" ref="N165">_xlfn.XLOOKUP(RawSalesTable5[[#This Row],[Product_Code]],ProductLookupTable[[#All],[Product_Code]],ProductLookupTable[[#All],[Product_Name]],"NOT FOUND")</f>
        <v>HD Webcam</v>
      </c>
      <c r="O165" t="str" cm="1">
        <f t="array" ref="O165">_xlfn.XLOOKUP(RawSalesTable5[[#This Row],[Product_Code]],ProductLookupTable[[#All],[Product_Code]],ProductLookupTable[[#All],[Category]],"NOT FOUND")</f>
        <v>Accessories</v>
      </c>
      <c r="P165" cm="1">
        <f t="array" ref="P165">_xlfn.XLOOKUP(RawSalesTable5[[#This Row],[Product_Code]],ProductLookupTable[[#All],[Product_Code]],ProductLookupTable[[#All],[Unit_Price]],"NOT FOUND")</f>
        <v>2899</v>
      </c>
      <c r="Q165" t="str">
        <f>IF(COUNTIF(ProductLookupTable[Product_Code],RawSalesTable5[[#This Row],[Product_Code]])=0,"Missing Product","OK")</f>
        <v>OK</v>
      </c>
      <c r="R165" cm="1">
        <f t="array" ref="R165">_xlfn.XLOOKUP(RawSalesTable5[[#This Row],[Product_Code]],ProductLookupTable[[#All],[Product_Code]],ProductLookupTable[[#All],[Unit_Cost]],"NOT FOUND")</f>
        <v>1700</v>
      </c>
      <c r="S165">
        <f>IFERROR(RawSalesTable5[[#This Row],[Quantity]]*RawSalesTable5[[#This Row],[Unit_Price]],"NOT FOUND")</f>
        <v>14495</v>
      </c>
      <c r="T165">
        <f>IFERROR(RawSalesTable5[[#This Row],[Gross_Revenue]]*RawSalesTable5[[#This Row],[Discount_Pct]],"NOT FOUND")</f>
        <v>1449.5</v>
      </c>
      <c r="U165">
        <f>IFERROR(RawSalesTable5[[#This Row],[Gross_Revenue]]-RawSalesTable5[[#This Row],[Discount_Value]],"NOT FOUND")</f>
        <v>13045.5</v>
      </c>
      <c r="V165">
        <f>IFERROR(RawSalesTable5[[#This Row],[Quantity]]*RawSalesTable5[[#This Row],[Unit_Cost]],"NOT FOUND")</f>
        <v>8500</v>
      </c>
      <c r="W165">
        <f>IFERROR(RawSalesTable5[[#This Row],[Net_Revenue]]-RawSalesTable5[[#This Row],[Cost]],"NOT FOUND")</f>
        <v>4545.5</v>
      </c>
      <c r="X165" s="27">
        <f>IF(RawSalesTable5[[#This Row],[Lookup_Status]]="Missing Product","",IFERROR(RawSalesTable5[[#This Row],[Profit]]/RawSalesTable5[[#This Row],[Net_Revenue]],0))</f>
        <v>0.34843432601280133</v>
      </c>
      <c r="Y165">
        <f>RawSalesTable5[[#This Row],[Ship_Date]]-RawSalesTable5[[#This Row],[Order_Date]]</f>
        <v>3</v>
      </c>
      <c r="Z165" s="28">
        <f>DATE(YEAR(RawSalesTable5[[#This Row],[Order_Date]]),MONTH(RawSalesTable5[[#This Row],[Order_Date]]),1)</f>
        <v>45962</v>
      </c>
      <c r="AA165" t="str" cm="1">
        <f t="array" ref="AA165">IF(RawSalesTable5[[#This Row],[Lookup_Status]]="Missing Product","",_xlfn.IFS(RawSalesTable5[[#This Row],[Net_Revenue]]&gt;=20000,"High",RawSalesTable5[[#This Row],[Net_Revenue]]&gt;=10000,"Medium",TRUE,"Low"))</f>
        <v>Medium</v>
      </c>
    </row>
    <row r="166" spans="1:27">
      <c r="A166" t="s">
        <v>298</v>
      </c>
      <c r="B166" s="15">
        <v>45925</v>
      </c>
      <c r="C166" s="15">
        <v>45932</v>
      </c>
      <c r="D166" t="s">
        <v>123</v>
      </c>
      <c r="E166" t="s">
        <v>98</v>
      </c>
      <c r="F166" t="s">
        <v>154</v>
      </c>
      <c r="G166" t="s">
        <v>94</v>
      </c>
      <c r="H166" t="s">
        <v>86</v>
      </c>
      <c r="I166" s="17">
        <v>4</v>
      </c>
      <c r="J166" s="16">
        <v>0</v>
      </c>
      <c r="K166" t="s">
        <v>95</v>
      </c>
      <c r="L166" t="s">
        <v>89</v>
      </c>
      <c r="M166" s="17">
        <v>4</v>
      </c>
      <c r="N166" t="str" cm="1">
        <f t="array" ref="N166">_xlfn.XLOOKUP(RawSalesTable5[[#This Row],[Product_Code]],ProductLookupTable[[#All],[Product_Code]],ProductLookupTable[[#All],[Product_Name]],"NOT FOUND")</f>
        <v>Laptop Stand</v>
      </c>
      <c r="O166" t="str" cm="1">
        <f t="array" ref="O166">_xlfn.XLOOKUP(RawSalesTable5[[#This Row],[Product_Code]],ProductLookupTable[[#All],[Product_Code]],ProductLookupTable[[#All],[Category]],"NOT FOUND")</f>
        <v>Accessories</v>
      </c>
      <c r="P166" cm="1">
        <f t="array" ref="P166">_xlfn.XLOOKUP(RawSalesTable5[[#This Row],[Product_Code]],ProductLookupTable[[#All],[Product_Code]],ProductLookupTable[[#All],[Unit_Price]],"NOT FOUND")</f>
        <v>1899</v>
      </c>
      <c r="Q166" t="str">
        <f>IF(COUNTIF(ProductLookupTable[Product_Code],RawSalesTable5[[#This Row],[Product_Code]])=0,"Missing Product","OK")</f>
        <v>OK</v>
      </c>
      <c r="R166" cm="1">
        <f t="array" ref="R166">_xlfn.XLOOKUP(RawSalesTable5[[#This Row],[Product_Code]],ProductLookupTable[[#All],[Product_Code]],ProductLookupTable[[#All],[Unit_Cost]],"NOT FOUND")</f>
        <v>980</v>
      </c>
      <c r="S166">
        <f>IFERROR(RawSalesTable5[[#This Row],[Quantity]]*RawSalesTable5[[#This Row],[Unit_Price]],"NOT FOUND")</f>
        <v>7596</v>
      </c>
      <c r="T166">
        <f>IFERROR(RawSalesTable5[[#This Row],[Gross_Revenue]]*RawSalesTable5[[#This Row],[Discount_Pct]],"NOT FOUND")</f>
        <v>0</v>
      </c>
      <c r="U166">
        <f>IFERROR(RawSalesTable5[[#This Row],[Gross_Revenue]]-RawSalesTable5[[#This Row],[Discount_Value]],"NOT FOUND")</f>
        <v>7596</v>
      </c>
      <c r="V166">
        <f>IFERROR(RawSalesTable5[[#This Row],[Quantity]]*RawSalesTable5[[#This Row],[Unit_Cost]],"NOT FOUND")</f>
        <v>3920</v>
      </c>
      <c r="W166">
        <f>IFERROR(RawSalesTable5[[#This Row],[Net_Revenue]]-RawSalesTable5[[#This Row],[Cost]],"NOT FOUND")</f>
        <v>3676</v>
      </c>
      <c r="X166" s="27">
        <f>IF(RawSalesTable5[[#This Row],[Lookup_Status]]="Missing Product","",IFERROR(RawSalesTable5[[#This Row],[Profit]]/RawSalesTable5[[#This Row],[Net_Revenue]],0))</f>
        <v>0.48393891521853605</v>
      </c>
      <c r="Y166">
        <f>RawSalesTable5[[#This Row],[Ship_Date]]-RawSalesTable5[[#This Row],[Order_Date]]</f>
        <v>7</v>
      </c>
      <c r="Z166" s="28">
        <f>DATE(YEAR(RawSalesTable5[[#This Row],[Order_Date]]),MONTH(RawSalesTable5[[#This Row],[Order_Date]]),1)</f>
        <v>45901</v>
      </c>
      <c r="AA166" t="str" cm="1">
        <f t="array" ref="AA166">IF(RawSalesTable5[[#This Row],[Lookup_Status]]="Missing Product","",_xlfn.IFS(RawSalesTable5[[#This Row],[Net_Revenue]]&gt;=20000,"High",RawSalesTable5[[#This Row],[Net_Revenue]]&gt;=10000,"Medium",TRUE,"Low"))</f>
        <v>Low</v>
      </c>
    </row>
    <row r="167" spans="1:27">
      <c r="A167" t="s">
        <v>299</v>
      </c>
      <c r="B167" s="15">
        <v>45923</v>
      </c>
      <c r="C167" s="15">
        <v>45930</v>
      </c>
      <c r="D167" t="s">
        <v>83</v>
      </c>
      <c r="E167" t="s">
        <v>101</v>
      </c>
      <c r="F167" t="s">
        <v>102</v>
      </c>
      <c r="G167" t="s">
        <v>94</v>
      </c>
      <c r="H167" t="s">
        <v>103</v>
      </c>
      <c r="I167" s="17">
        <v>4</v>
      </c>
      <c r="J167" s="16">
        <v>0.2</v>
      </c>
      <c r="K167" t="s">
        <v>112</v>
      </c>
      <c r="L167" t="s">
        <v>89</v>
      </c>
      <c r="M167" s="17">
        <v>4</v>
      </c>
      <c r="N167" t="str" cm="1">
        <f t="array" ref="N167">_xlfn.XLOOKUP(RawSalesTable5[[#This Row],[Product_Code]],ProductLookupTable[[#All],[Product_Code]],ProductLookupTable[[#All],[Product_Name]],"NOT FOUND")</f>
        <v>SSD 1TB</v>
      </c>
      <c r="O167" t="str" cm="1">
        <f t="array" ref="O167">_xlfn.XLOOKUP(RawSalesTable5[[#This Row],[Product_Code]],ProductLookupTable[[#All],[Product_Code]],ProductLookupTable[[#All],[Category]],"NOT FOUND")</f>
        <v>Storage</v>
      </c>
      <c r="P167" cm="1">
        <f t="array" ref="P167">_xlfn.XLOOKUP(RawSalesTable5[[#This Row],[Product_Code]],ProductLookupTable[[#All],[Product_Code]],ProductLookupTable[[#All],[Unit_Price]],"NOT FOUND")</f>
        <v>6999</v>
      </c>
      <c r="Q167" t="str">
        <f>IF(COUNTIF(ProductLookupTable[Product_Code],RawSalesTable5[[#This Row],[Product_Code]])=0,"Missing Product","OK")</f>
        <v>OK</v>
      </c>
      <c r="R167" cm="1">
        <f t="array" ref="R167">_xlfn.XLOOKUP(RawSalesTable5[[#This Row],[Product_Code]],ProductLookupTable[[#All],[Product_Code]],ProductLookupTable[[#All],[Unit_Cost]],"NOT FOUND")</f>
        <v>4900</v>
      </c>
      <c r="S167">
        <f>IFERROR(RawSalesTable5[[#This Row],[Quantity]]*RawSalesTable5[[#This Row],[Unit_Price]],"NOT FOUND")</f>
        <v>27996</v>
      </c>
      <c r="T167">
        <f>IFERROR(RawSalesTable5[[#This Row],[Gross_Revenue]]*RawSalesTable5[[#This Row],[Discount_Pct]],"NOT FOUND")</f>
        <v>5599.2000000000007</v>
      </c>
      <c r="U167">
        <f>IFERROR(RawSalesTable5[[#This Row],[Gross_Revenue]]-RawSalesTable5[[#This Row],[Discount_Value]],"NOT FOUND")</f>
        <v>22396.799999999999</v>
      </c>
      <c r="V167">
        <f>IFERROR(RawSalesTable5[[#This Row],[Quantity]]*RawSalesTable5[[#This Row],[Unit_Cost]],"NOT FOUND")</f>
        <v>19600</v>
      </c>
      <c r="W167">
        <f>IFERROR(RawSalesTable5[[#This Row],[Net_Revenue]]-RawSalesTable5[[#This Row],[Cost]],"NOT FOUND")</f>
        <v>2796.7999999999993</v>
      </c>
      <c r="X167" s="27">
        <f>IF(RawSalesTable5[[#This Row],[Lookup_Status]]="Missing Product","",IFERROR(RawSalesTable5[[#This Row],[Profit]]/RawSalesTable5[[#This Row],[Net_Revenue]],0))</f>
        <v>0.12487498214030573</v>
      </c>
      <c r="Y167">
        <f>RawSalesTable5[[#This Row],[Ship_Date]]-RawSalesTable5[[#This Row],[Order_Date]]</f>
        <v>7</v>
      </c>
      <c r="Z167" s="28">
        <f>DATE(YEAR(RawSalesTable5[[#This Row],[Order_Date]]),MONTH(RawSalesTable5[[#This Row],[Order_Date]]),1)</f>
        <v>45901</v>
      </c>
      <c r="AA167" t="str" cm="1">
        <f t="array" ref="AA167">IF(RawSalesTable5[[#This Row],[Lookup_Status]]="Missing Product","",_xlfn.IFS(RawSalesTable5[[#This Row],[Net_Revenue]]&gt;=20000,"High",RawSalesTable5[[#This Row],[Net_Revenue]]&gt;=10000,"Medium",TRUE,"Low"))</f>
        <v>High</v>
      </c>
    </row>
    <row r="168" spans="1:27">
      <c r="A168" t="s">
        <v>300</v>
      </c>
      <c r="B168" s="15">
        <v>45922</v>
      </c>
      <c r="C168" s="15">
        <v>45924</v>
      </c>
      <c r="D168" t="s">
        <v>114</v>
      </c>
      <c r="E168" t="s">
        <v>106</v>
      </c>
      <c r="F168" t="s">
        <v>102</v>
      </c>
      <c r="G168" t="s">
        <v>108</v>
      </c>
      <c r="H168" t="s">
        <v>86</v>
      </c>
      <c r="I168" s="17">
        <v>1</v>
      </c>
      <c r="J168" s="16">
        <v>0.2</v>
      </c>
      <c r="K168" t="s">
        <v>119</v>
      </c>
      <c r="L168" t="s">
        <v>89</v>
      </c>
      <c r="M168" s="17">
        <v>3</v>
      </c>
      <c r="N168" t="str" cm="1">
        <f t="array" ref="N168">_xlfn.XLOOKUP(RawSalesTable5[[#This Row],[Product_Code]],ProductLookupTable[[#All],[Product_Code]],ProductLookupTable[[#All],[Product_Name]],"NOT FOUND")</f>
        <v>SSD 1TB</v>
      </c>
      <c r="O168" t="str" cm="1">
        <f t="array" ref="O168">_xlfn.XLOOKUP(RawSalesTable5[[#This Row],[Product_Code]],ProductLookupTable[[#All],[Product_Code]],ProductLookupTable[[#All],[Category]],"NOT FOUND")</f>
        <v>Storage</v>
      </c>
      <c r="P168" cm="1">
        <f t="array" ref="P168">_xlfn.XLOOKUP(RawSalesTable5[[#This Row],[Product_Code]],ProductLookupTable[[#All],[Product_Code]],ProductLookupTable[[#All],[Unit_Price]],"NOT FOUND")</f>
        <v>6999</v>
      </c>
      <c r="Q168" t="str">
        <f>IF(COUNTIF(ProductLookupTable[Product_Code],RawSalesTable5[[#This Row],[Product_Code]])=0,"Missing Product","OK")</f>
        <v>OK</v>
      </c>
      <c r="R168" cm="1">
        <f t="array" ref="R168">_xlfn.XLOOKUP(RawSalesTable5[[#This Row],[Product_Code]],ProductLookupTable[[#All],[Product_Code]],ProductLookupTable[[#All],[Unit_Cost]],"NOT FOUND")</f>
        <v>4900</v>
      </c>
      <c r="S168">
        <f>IFERROR(RawSalesTable5[[#This Row],[Quantity]]*RawSalesTable5[[#This Row],[Unit_Price]],"NOT FOUND")</f>
        <v>6999</v>
      </c>
      <c r="T168">
        <f>IFERROR(RawSalesTable5[[#This Row],[Gross_Revenue]]*RawSalesTable5[[#This Row],[Discount_Pct]],"NOT FOUND")</f>
        <v>1399.8000000000002</v>
      </c>
      <c r="U168">
        <f>IFERROR(RawSalesTable5[[#This Row],[Gross_Revenue]]-RawSalesTable5[[#This Row],[Discount_Value]],"NOT FOUND")</f>
        <v>5599.2</v>
      </c>
      <c r="V168">
        <f>IFERROR(RawSalesTable5[[#This Row],[Quantity]]*RawSalesTable5[[#This Row],[Unit_Cost]],"NOT FOUND")</f>
        <v>4900</v>
      </c>
      <c r="W168">
        <f>IFERROR(RawSalesTable5[[#This Row],[Net_Revenue]]-RawSalesTable5[[#This Row],[Cost]],"NOT FOUND")</f>
        <v>699.19999999999982</v>
      </c>
      <c r="X168" s="27">
        <f>IF(RawSalesTable5[[#This Row],[Lookup_Status]]="Missing Product","",IFERROR(RawSalesTable5[[#This Row],[Profit]]/RawSalesTable5[[#This Row],[Net_Revenue]],0))</f>
        <v>0.12487498214030573</v>
      </c>
      <c r="Y168">
        <f>RawSalesTable5[[#This Row],[Ship_Date]]-RawSalesTable5[[#This Row],[Order_Date]]</f>
        <v>2</v>
      </c>
      <c r="Z168" s="28">
        <f>DATE(YEAR(RawSalesTable5[[#This Row],[Order_Date]]),MONTH(RawSalesTable5[[#This Row],[Order_Date]]),1)</f>
        <v>45901</v>
      </c>
      <c r="AA168" t="str" cm="1">
        <f t="array" ref="AA168">IF(RawSalesTable5[[#This Row],[Lookup_Status]]="Missing Product","",_xlfn.IFS(RawSalesTable5[[#This Row],[Net_Revenue]]&gt;=20000,"High",RawSalesTable5[[#This Row],[Net_Revenue]]&gt;=10000,"Medium",TRUE,"Low"))</f>
        <v>Low</v>
      </c>
    </row>
    <row r="169" spans="1:27">
      <c r="A169" t="s">
        <v>301</v>
      </c>
      <c r="B169" s="15">
        <v>45954</v>
      </c>
      <c r="C169" s="15">
        <v>45958</v>
      </c>
      <c r="D169" t="s">
        <v>157</v>
      </c>
      <c r="E169" t="s">
        <v>111</v>
      </c>
      <c r="F169" t="s">
        <v>107</v>
      </c>
      <c r="G169" t="s">
        <v>86</v>
      </c>
      <c r="H169" t="s">
        <v>103</v>
      </c>
      <c r="I169" s="17">
        <v>2</v>
      </c>
      <c r="J169" s="16">
        <v>0.05</v>
      </c>
      <c r="K169" t="s">
        <v>119</v>
      </c>
      <c r="L169" t="s">
        <v>89</v>
      </c>
      <c r="M169" s="17">
        <v>4</v>
      </c>
      <c r="N169" t="str" cm="1">
        <f t="array" ref="N169">_xlfn.XLOOKUP(RawSalesTable5[[#This Row],[Product_Code]],ProductLookupTable[[#All],[Product_Code]],ProductLookupTable[[#All],[Product_Name]],"NOT FOUND")</f>
        <v>Bluetooth Speaker</v>
      </c>
      <c r="O169" t="str" cm="1">
        <f t="array" ref="O169">_xlfn.XLOOKUP(RawSalesTable5[[#This Row],[Product_Code]],ProductLookupTable[[#All],[Product_Code]],ProductLookupTable[[#All],[Category]],"NOT FOUND")</f>
        <v>Audio</v>
      </c>
      <c r="P169" cm="1">
        <f t="array" ref="P169">_xlfn.XLOOKUP(RawSalesTable5[[#This Row],[Product_Code]],ProductLookupTable[[#All],[Product_Code]],ProductLookupTable[[#All],[Unit_Price]],"NOT FOUND")</f>
        <v>2799</v>
      </c>
      <c r="Q169" t="str">
        <f>IF(COUNTIF(ProductLookupTable[Product_Code],RawSalesTable5[[#This Row],[Product_Code]])=0,"Missing Product","OK")</f>
        <v>OK</v>
      </c>
      <c r="R169" cm="1">
        <f t="array" ref="R169">_xlfn.XLOOKUP(RawSalesTable5[[#This Row],[Product_Code]],ProductLookupTable[[#All],[Product_Code]],ProductLookupTable[[#All],[Unit_Cost]],"NOT FOUND")</f>
        <v>1650</v>
      </c>
      <c r="S169">
        <f>IFERROR(RawSalesTable5[[#This Row],[Quantity]]*RawSalesTable5[[#This Row],[Unit_Price]],"NOT FOUND")</f>
        <v>5598</v>
      </c>
      <c r="T169">
        <f>IFERROR(RawSalesTable5[[#This Row],[Gross_Revenue]]*RawSalesTable5[[#This Row],[Discount_Pct]],"NOT FOUND")</f>
        <v>279.90000000000003</v>
      </c>
      <c r="U169">
        <f>IFERROR(RawSalesTable5[[#This Row],[Gross_Revenue]]-RawSalesTable5[[#This Row],[Discount_Value]],"NOT FOUND")</f>
        <v>5318.1</v>
      </c>
      <c r="V169">
        <f>IFERROR(RawSalesTable5[[#This Row],[Quantity]]*RawSalesTable5[[#This Row],[Unit_Cost]],"NOT FOUND")</f>
        <v>3300</v>
      </c>
      <c r="W169">
        <f>IFERROR(RawSalesTable5[[#This Row],[Net_Revenue]]-RawSalesTable5[[#This Row],[Cost]],"NOT FOUND")</f>
        <v>2018.1000000000004</v>
      </c>
      <c r="X169" s="27">
        <f>IF(RawSalesTable5[[#This Row],[Lookup_Status]]="Missing Product","",IFERROR(RawSalesTable5[[#This Row],[Profit]]/RawSalesTable5[[#This Row],[Net_Revenue]],0))</f>
        <v>0.37947763298922554</v>
      </c>
      <c r="Y169">
        <f>RawSalesTable5[[#This Row],[Ship_Date]]-RawSalesTable5[[#This Row],[Order_Date]]</f>
        <v>4</v>
      </c>
      <c r="Z169" s="28">
        <f>DATE(YEAR(RawSalesTable5[[#This Row],[Order_Date]]),MONTH(RawSalesTable5[[#This Row],[Order_Date]]),1)</f>
        <v>45931</v>
      </c>
      <c r="AA169" t="str" cm="1">
        <f t="array" ref="AA169">IF(RawSalesTable5[[#This Row],[Lookup_Status]]="Missing Product","",_xlfn.IFS(RawSalesTable5[[#This Row],[Net_Revenue]]&gt;=20000,"High",RawSalesTable5[[#This Row],[Net_Revenue]]&gt;=10000,"Medium",TRUE,"Low"))</f>
        <v>Low</v>
      </c>
    </row>
    <row r="170" spans="1:27">
      <c r="A170" t="s">
        <v>302</v>
      </c>
      <c r="B170" s="15">
        <v>45969</v>
      </c>
      <c r="C170" s="15">
        <v>45974</v>
      </c>
      <c r="D170" t="s">
        <v>212</v>
      </c>
      <c r="E170" t="s">
        <v>84</v>
      </c>
      <c r="F170" t="s">
        <v>147</v>
      </c>
      <c r="G170" t="s">
        <v>125</v>
      </c>
      <c r="H170" t="s">
        <v>103</v>
      </c>
      <c r="I170" s="17">
        <v>3</v>
      </c>
      <c r="J170" s="16">
        <v>0.2</v>
      </c>
      <c r="K170" t="s">
        <v>95</v>
      </c>
      <c r="L170" t="s">
        <v>89</v>
      </c>
      <c r="M170" s="17">
        <v>4</v>
      </c>
      <c r="N170" t="str" cm="1">
        <f t="array" ref="N170">_xlfn.XLOOKUP(RawSalesTable5[[#This Row],[Product_Code]],ProductLookupTable[[#All],[Product_Code]],ProductLookupTable[[#All],[Product_Name]],"NOT FOUND")</f>
        <v>LED Desk Lamp</v>
      </c>
      <c r="O170" t="str" cm="1">
        <f t="array" ref="O170">_xlfn.XLOOKUP(RawSalesTable5[[#This Row],[Product_Code]],ProductLookupTable[[#All],[Product_Code]],ProductLookupTable[[#All],[Category]],"NOT FOUND")</f>
        <v>Furniture</v>
      </c>
      <c r="P170" cm="1">
        <f t="array" ref="P170">_xlfn.XLOOKUP(RawSalesTable5[[#This Row],[Product_Code]],ProductLookupTable[[#All],[Product_Code]],ProductLookupTable[[#All],[Unit_Price]],"NOT FOUND")</f>
        <v>1999</v>
      </c>
      <c r="Q170" t="str">
        <f>IF(COUNTIF(ProductLookupTable[Product_Code],RawSalesTable5[[#This Row],[Product_Code]])=0,"Missing Product","OK")</f>
        <v>OK</v>
      </c>
      <c r="R170" cm="1">
        <f t="array" ref="R170">_xlfn.XLOOKUP(RawSalesTable5[[#This Row],[Product_Code]],ProductLookupTable[[#All],[Product_Code]],ProductLookupTable[[#All],[Unit_Cost]],"NOT FOUND")</f>
        <v>1050</v>
      </c>
      <c r="S170">
        <f>IFERROR(RawSalesTable5[[#This Row],[Quantity]]*RawSalesTable5[[#This Row],[Unit_Price]],"NOT FOUND")</f>
        <v>5997</v>
      </c>
      <c r="T170">
        <f>IFERROR(RawSalesTable5[[#This Row],[Gross_Revenue]]*RawSalesTable5[[#This Row],[Discount_Pct]],"NOT FOUND")</f>
        <v>1199.4000000000001</v>
      </c>
      <c r="U170">
        <f>IFERROR(RawSalesTable5[[#This Row],[Gross_Revenue]]-RawSalesTable5[[#This Row],[Discount_Value]],"NOT FOUND")</f>
        <v>4797.6000000000004</v>
      </c>
      <c r="V170">
        <f>IFERROR(RawSalesTable5[[#This Row],[Quantity]]*RawSalesTable5[[#This Row],[Unit_Cost]],"NOT FOUND")</f>
        <v>3150</v>
      </c>
      <c r="W170">
        <f>IFERROR(RawSalesTable5[[#This Row],[Net_Revenue]]-RawSalesTable5[[#This Row],[Cost]],"NOT FOUND")</f>
        <v>1647.6000000000004</v>
      </c>
      <c r="X170" s="27">
        <f>IF(RawSalesTable5[[#This Row],[Lookup_Status]]="Missing Product","",IFERROR(RawSalesTable5[[#This Row],[Profit]]/RawSalesTable5[[#This Row],[Net_Revenue]],0))</f>
        <v>0.34342171085542778</v>
      </c>
      <c r="Y170">
        <f>RawSalesTable5[[#This Row],[Ship_Date]]-RawSalesTable5[[#This Row],[Order_Date]]</f>
        <v>5</v>
      </c>
      <c r="Z170" s="28">
        <f>DATE(YEAR(RawSalesTable5[[#This Row],[Order_Date]]),MONTH(RawSalesTable5[[#This Row],[Order_Date]]),1)</f>
        <v>45962</v>
      </c>
      <c r="AA170" t="str" cm="1">
        <f t="array" ref="AA170">IF(RawSalesTable5[[#This Row],[Lookup_Status]]="Missing Product","",_xlfn.IFS(RawSalesTable5[[#This Row],[Net_Revenue]]&gt;=20000,"High",RawSalesTable5[[#This Row],[Net_Revenue]]&gt;=10000,"Medium",TRUE,"Low"))</f>
        <v>Low</v>
      </c>
    </row>
    <row r="171" spans="1:27">
      <c r="A171" t="s">
        <v>303</v>
      </c>
      <c r="B171" s="15">
        <v>45891</v>
      </c>
      <c r="C171" s="15">
        <v>45896</v>
      </c>
      <c r="D171" t="s">
        <v>123</v>
      </c>
      <c r="E171" t="s">
        <v>92</v>
      </c>
      <c r="F171" t="s">
        <v>107</v>
      </c>
      <c r="G171" t="s">
        <v>125</v>
      </c>
      <c r="H171" t="s">
        <v>87</v>
      </c>
      <c r="I171" s="17">
        <v>4</v>
      </c>
      <c r="J171" s="16">
        <v>0.05</v>
      </c>
      <c r="K171" t="s">
        <v>112</v>
      </c>
      <c r="L171" t="s">
        <v>89</v>
      </c>
      <c r="M171" s="17">
        <v>5</v>
      </c>
      <c r="N171" t="str" cm="1">
        <f t="array" ref="N171">_xlfn.XLOOKUP(RawSalesTable5[[#This Row],[Product_Code]],ProductLookupTable[[#All],[Product_Code]],ProductLookupTable[[#All],[Product_Name]],"NOT FOUND")</f>
        <v>Bluetooth Speaker</v>
      </c>
      <c r="O171" t="str" cm="1">
        <f t="array" ref="O171">_xlfn.XLOOKUP(RawSalesTable5[[#This Row],[Product_Code]],ProductLookupTable[[#All],[Product_Code]],ProductLookupTable[[#All],[Category]],"NOT FOUND")</f>
        <v>Audio</v>
      </c>
      <c r="P171" cm="1">
        <f t="array" ref="P171">_xlfn.XLOOKUP(RawSalesTable5[[#This Row],[Product_Code]],ProductLookupTable[[#All],[Product_Code]],ProductLookupTable[[#All],[Unit_Price]],"NOT FOUND")</f>
        <v>2799</v>
      </c>
      <c r="Q171" t="str">
        <f>IF(COUNTIF(ProductLookupTable[Product_Code],RawSalesTable5[[#This Row],[Product_Code]])=0,"Missing Product","OK")</f>
        <v>OK</v>
      </c>
      <c r="R171" cm="1">
        <f t="array" ref="R171">_xlfn.XLOOKUP(RawSalesTable5[[#This Row],[Product_Code]],ProductLookupTable[[#All],[Product_Code]],ProductLookupTable[[#All],[Unit_Cost]],"NOT FOUND")</f>
        <v>1650</v>
      </c>
      <c r="S171">
        <f>IFERROR(RawSalesTable5[[#This Row],[Quantity]]*RawSalesTable5[[#This Row],[Unit_Price]],"NOT FOUND")</f>
        <v>11196</v>
      </c>
      <c r="T171">
        <f>IFERROR(RawSalesTable5[[#This Row],[Gross_Revenue]]*RawSalesTable5[[#This Row],[Discount_Pct]],"NOT FOUND")</f>
        <v>559.80000000000007</v>
      </c>
      <c r="U171">
        <f>IFERROR(RawSalesTable5[[#This Row],[Gross_Revenue]]-RawSalesTable5[[#This Row],[Discount_Value]],"NOT FOUND")</f>
        <v>10636.2</v>
      </c>
      <c r="V171">
        <f>IFERROR(RawSalesTable5[[#This Row],[Quantity]]*RawSalesTable5[[#This Row],[Unit_Cost]],"NOT FOUND")</f>
        <v>6600</v>
      </c>
      <c r="W171">
        <f>IFERROR(RawSalesTable5[[#This Row],[Net_Revenue]]-RawSalesTable5[[#This Row],[Cost]],"NOT FOUND")</f>
        <v>4036.2000000000007</v>
      </c>
      <c r="X171" s="27">
        <f>IF(RawSalesTable5[[#This Row],[Lookup_Status]]="Missing Product","",IFERROR(RawSalesTable5[[#This Row],[Profit]]/RawSalesTable5[[#This Row],[Net_Revenue]],0))</f>
        <v>0.37947763298922554</v>
      </c>
      <c r="Y171">
        <f>RawSalesTable5[[#This Row],[Ship_Date]]-RawSalesTable5[[#This Row],[Order_Date]]</f>
        <v>5</v>
      </c>
      <c r="Z171" s="28">
        <f>DATE(YEAR(RawSalesTable5[[#This Row],[Order_Date]]),MONTH(RawSalesTable5[[#This Row],[Order_Date]]),1)</f>
        <v>45870</v>
      </c>
      <c r="AA171" t="str" cm="1">
        <f t="array" ref="AA171">IF(RawSalesTable5[[#This Row],[Lookup_Status]]="Missing Product","",_xlfn.IFS(RawSalesTable5[[#This Row],[Net_Revenue]]&gt;=20000,"High",RawSalesTable5[[#This Row],[Net_Revenue]]&gt;=10000,"Medium",TRUE,"Low"))</f>
        <v>Medium</v>
      </c>
    </row>
    <row r="172" spans="1:27">
      <c r="A172" t="s">
        <v>304</v>
      </c>
      <c r="B172" s="15">
        <v>45851</v>
      </c>
      <c r="C172" s="15">
        <v>45854</v>
      </c>
      <c r="D172" t="s">
        <v>83</v>
      </c>
      <c r="E172" t="s">
        <v>98</v>
      </c>
      <c r="F172" t="s">
        <v>118</v>
      </c>
      <c r="G172" t="s">
        <v>108</v>
      </c>
      <c r="H172" t="s">
        <v>86</v>
      </c>
      <c r="I172" s="17">
        <v>5</v>
      </c>
      <c r="J172" s="16">
        <v>0.2</v>
      </c>
      <c r="K172" t="s">
        <v>140</v>
      </c>
      <c r="L172" t="s">
        <v>89</v>
      </c>
      <c r="M172" s="17">
        <v>3</v>
      </c>
      <c r="N172" t="str" cm="1">
        <f t="array" ref="N172">_xlfn.XLOOKUP(RawSalesTable5[[#This Row],[Product_Code]],ProductLookupTable[[#All],[Product_Code]],ProductLookupTable[[#All],[Product_Name]],"NOT FOUND")</f>
        <v>Mechanical Keyboard</v>
      </c>
      <c r="O172" t="str" cm="1">
        <f t="array" ref="O172">_xlfn.XLOOKUP(RawSalesTable5[[#This Row],[Product_Code]],ProductLookupTable[[#All],[Product_Code]],ProductLookupTable[[#All],[Category]],"NOT FOUND")</f>
        <v>Accessories</v>
      </c>
      <c r="P172" cm="1">
        <f t="array" ref="P172">_xlfn.XLOOKUP(RawSalesTable5[[#This Row],[Product_Code]],ProductLookupTable[[#All],[Product_Code]],ProductLookupTable[[#All],[Unit_Price]],"NOT FOUND")</f>
        <v>2499</v>
      </c>
      <c r="Q172" t="str">
        <f>IF(COUNTIF(ProductLookupTable[Product_Code],RawSalesTable5[[#This Row],[Product_Code]])=0,"Missing Product","OK")</f>
        <v>OK</v>
      </c>
      <c r="R172" cm="1">
        <f t="array" ref="R172">_xlfn.XLOOKUP(RawSalesTable5[[#This Row],[Product_Code]],ProductLookupTable[[#All],[Product_Code]],ProductLookupTable[[#All],[Unit_Cost]],"NOT FOUND")</f>
        <v>1450</v>
      </c>
      <c r="S172">
        <f>IFERROR(RawSalesTable5[[#This Row],[Quantity]]*RawSalesTable5[[#This Row],[Unit_Price]],"NOT FOUND")</f>
        <v>12495</v>
      </c>
      <c r="T172">
        <f>IFERROR(RawSalesTable5[[#This Row],[Gross_Revenue]]*RawSalesTable5[[#This Row],[Discount_Pct]],"NOT FOUND")</f>
        <v>2499</v>
      </c>
      <c r="U172">
        <f>IFERROR(RawSalesTable5[[#This Row],[Gross_Revenue]]-RawSalesTable5[[#This Row],[Discount_Value]],"NOT FOUND")</f>
        <v>9996</v>
      </c>
      <c r="V172">
        <f>IFERROR(RawSalesTable5[[#This Row],[Quantity]]*RawSalesTable5[[#This Row],[Unit_Cost]],"NOT FOUND")</f>
        <v>7250</v>
      </c>
      <c r="W172">
        <f>IFERROR(RawSalesTable5[[#This Row],[Net_Revenue]]-RawSalesTable5[[#This Row],[Cost]],"NOT FOUND")</f>
        <v>2746</v>
      </c>
      <c r="X172" s="27">
        <f>IF(RawSalesTable5[[#This Row],[Lookup_Status]]="Missing Product","",IFERROR(RawSalesTable5[[#This Row],[Profit]]/RawSalesTable5[[#This Row],[Net_Revenue]],0))</f>
        <v>0.27470988395358142</v>
      </c>
      <c r="Y172">
        <f>RawSalesTable5[[#This Row],[Ship_Date]]-RawSalesTable5[[#This Row],[Order_Date]]</f>
        <v>3</v>
      </c>
      <c r="Z172" s="28">
        <f>DATE(YEAR(RawSalesTable5[[#This Row],[Order_Date]]),MONTH(RawSalesTable5[[#This Row],[Order_Date]]),1)</f>
        <v>45839</v>
      </c>
      <c r="AA172" t="str" cm="1">
        <f t="array" ref="AA172">IF(RawSalesTable5[[#This Row],[Lookup_Status]]="Missing Product","",_xlfn.IFS(RawSalesTable5[[#This Row],[Net_Revenue]]&gt;=20000,"High",RawSalesTable5[[#This Row],[Net_Revenue]]&gt;=10000,"Medium",TRUE,"Low"))</f>
        <v>Low</v>
      </c>
    </row>
    <row r="173" spans="1:27">
      <c r="A173" t="s">
        <v>305</v>
      </c>
      <c r="B173" s="15">
        <v>45912</v>
      </c>
      <c r="C173" s="15">
        <v>45913</v>
      </c>
      <c r="D173" t="s">
        <v>114</v>
      </c>
      <c r="E173" t="s">
        <v>101</v>
      </c>
      <c r="F173" t="s">
        <v>124</v>
      </c>
      <c r="G173" t="s">
        <v>94</v>
      </c>
      <c r="H173" t="s">
        <v>103</v>
      </c>
      <c r="I173" s="17">
        <v>4</v>
      </c>
      <c r="J173" s="16">
        <v>0.2</v>
      </c>
      <c r="K173" t="s">
        <v>88</v>
      </c>
      <c r="L173" t="s">
        <v>89</v>
      </c>
      <c r="M173" s="17">
        <v>4</v>
      </c>
      <c r="N173" t="str" cm="1">
        <f t="array" ref="N173">_xlfn.XLOOKUP(RawSalesTable5[[#This Row],[Product_Code]],ProductLookupTable[[#All],[Product_Code]],ProductLookupTable[[#All],[Product_Name]],"NOT FOUND")</f>
        <v>Wireless Mouse</v>
      </c>
      <c r="O173" t="str" cm="1">
        <f t="array" ref="O173">_xlfn.XLOOKUP(RawSalesTable5[[#This Row],[Product_Code]],ProductLookupTable[[#All],[Product_Code]],ProductLookupTable[[#All],[Category]],"NOT FOUND")</f>
        <v>Accessories</v>
      </c>
      <c r="P173" cm="1">
        <f t="array" ref="P173">_xlfn.XLOOKUP(RawSalesTable5[[#This Row],[Product_Code]],ProductLookupTable[[#All],[Product_Code]],ProductLookupTable[[#All],[Unit_Price]],"NOT FOUND")</f>
        <v>799</v>
      </c>
      <c r="Q173" t="str">
        <f>IF(COUNTIF(ProductLookupTable[Product_Code],RawSalesTable5[[#This Row],[Product_Code]])=0,"Missing Product","OK")</f>
        <v>OK</v>
      </c>
      <c r="R173" cm="1">
        <f t="array" ref="R173">_xlfn.XLOOKUP(RawSalesTable5[[#This Row],[Product_Code]],ProductLookupTable[[#All],[Product_Code]],ProductLookupTable[[#All],[Unit_Cost]],"NOT FOUND")</f>
        <v>420</v>
      </c>
      <c r="S173">
        <f>IFERROR(RawSalesTable5[[#This Row],[Quantity]]*RawSalesTable5[[#This Row],[Unit_Price]],"NOT FOUND")</f>
        <v>3196</v>
      </c>
      <c r="T173">
        <f>IFERROR(RawSalesTable5[[#This Row],[Gross_Revenue]]*RawSalesTable5[[#This Row],[Discount_Pct]],"NOT FOUND")</f>
        <v>639.20000000000005</v>
      </c>
      <c r="U173">
        <f>IFERROR(RawSalesTable5[[#This Row],[Gross_Revenue]]-RawSalesTable5[[#This Row],[Discount_Value]],"NOT FOUND")</f>
        <v>2556.8000000000002</v>
      </c>
      <c r="V173">
        <f>IFERROR(RawSalesTable5[[#This Row],[Quantity]]*RawSalesTable5[[#This Row],[Unit_Cost]],"NOT FOUND")</f>
        <v>1680</v>
      </c>
      <c r="W173">
        <f>IFERROR(RawSalesTable5[[#This Row],[Net_Revenue]]-RawSalesTable5[[#This Row],[Cost]],"NOT FOUND")</f>
        <v>876.80000000000018</v>
      </c>
      <c r="X173" s="27">
        <f>IF(RawSalesTable5[[#This Row],[Lookup_Status]]="Missing Product","",IFERROR(RawSalesTable5[[#This Row],[Profit]]/RawSalesTable5[[#This Row],[Net_Revenue]],0))</f>
        <v>0.34292866082603257</v>
      </c>
      <c r="Y173">
        <f>RawSalesTable5[[#This Row],[Ship_Date]]-RawSalesTable5[[#This Row],[Order_Date]]</f>
        <v>1</v>
      </c>
      <c r="Z173" s="28">
        <f>DATE(YEAR(RawSalesTable5[[#This Row],[Order_Date]]),MONTH(RawSalesTable5[[#This Row],[Order_Date]]),1)</f>
        <v>45901</v>
      </c>
      <c r="AA173" t="str" cm="1">
        <f t="array" ref="AA173">IF(RawSalesTable5[[#This Row],[Lookup_Status]]="Missing Product","",_xlfn.IFS(RawSalesTable5[[#This Row],[Net_Revenue]]&gt;=20000,"High",RawSalesTable5[[#This Row],[Net_Revenue]]&gt;=10000,"Medium",TRUE,"Low"))</f>
        <v>Low</v>
      </c>
    </row>
    <row r="174" spans="1:27">
      <c r="A174" t="s">
        <v>306</v>
      </c>
      <c r="B174" s="15">
        <v>45659</v>
      </c>
      <c r="C174" s="15">
        <v>45662</v>
      </c>
      <c r="D174" t="s">
        <v>157</v>
      </c>
      <c r="E174" t="s">
        <v>106</v>
      </c>
      <c r="F174" t="s">
        <v>115</v>
      </c>
      <c r="G174" t="s">
        <v>125</v>
      </c>
      <c r="H174" t="s">
        <v>86</v>
      </c>
      <c r="I174" s="17">
        <v>1</v>
      </c>
      <c r="J174" s="16">
        <v>0.15</v>
      </c>
      <c r="K174" t="s">
        <v>119</v>
      </c>
      <c r="L174" t="s">
        <v>89</v>
      </c>
      <c r="M174" s="17">
        <v>5</v>
      </c>
      <c r="N174" t="str" cm="1">
        <f t="array" ref="N174">_xlfn.XLOOKUP(RawSalesTable5[[#This Row],[Product_Code]],ProductLookupTable[[#All],[Product_Code]],ProductLookupTable[[#All],[Product_Name]],"NOT FOUND")</f>
        <v>USB-C Hub</v>
      </c>
      <c r="O174" t="str" cm="1">
        <f t="array" ref="O174">_xlfn.XLOOKUP(RawSalesTable5[[#This Row],[Product_Code]],ProductLookupTable[[#All],[Product_Code]],ProductLookupTable[[#All],[Category]],"NOT FOUND")</f>
        <v>Accessories</v>
      </c>
      <c r="P174" cm="1">
        <f t="array" ref="P174">_xlfn.XLOOKUP(RawSalesTable5[[#This Row],[Product_Code]],ProductLookupTable[[#All],[Product_Code]],ProductLookupTable[[#All],[Unit_Price]],"NOT FOUND")</f>
        <v>1599</v>
      </c>
      <c r="Q174" t="str">
        <f>IF(COUNTIF(ProductLookupTable[Product_Code],RawSalesTable5[[#This Row],[Product_Code]])=0,"Missing Product","OK")</f>
        <v>OK</v>
      </c>
      <c r="R174" cm="1">
        <f t="array" ref="R174">_xlfn.XLOOKUP(RawSalesTable5[[#This Row],[Product_Code]],ProductLookupTable[[#All],[Product_Code]],ProductLookupTable[[#All],[Unit_Cost]],"NOT FOUND")</f>
        <v>870</v>
      </c>
      <c r="S174">
        <f>IFERROR(RawSalesTable5[[#This Row],[Quantity]]*RawSalesTable5[[#This Row],[Unit_Price]],"NOT FOUND")</f>
        <v>1599</v>
      </c>
      <c r="T174">
        <f>IFERROR(RawSalesTable5[[#This Row],[Gross_Revenue]]*RawSalesTable5[[#This Row],[Discount_Pct]],"NOT FOUND")</f>
        <v>239.85</v>
      </c>
      <c r="U174">
        <f>IFERROR(RawSalesTable5[[#This Row],[Gross_Revenue]]-RawSalesTable5[[#This Row],[Discount_Value]],"NOT FOUND")</f>
        <v>1359.15</v>
      </c>
      <c r="V174">
        <f>IFERROR(RawSalesTable5[[#This Row],[Quantity]]*RawSalesTable5[[#This Row],[Unit_Cost]],"NOT FOUND")</f>
        <v>870</v>
      </c>
      <c r="W174">
        <f>IFERROR(RawSalesTable5[[#This Row],[Net_Revenue]]-RawSalesTable5[[#This Row],[Cost]],"NOT FOUND")</f>
        <v>489.15000000000009</v>
      </c>
      <c r="X174" s="27">
        <f>IF(RawSalesTable5[[#This Row],[Lookup_Status]]="Missing Product","",IFERROR(RawSalesTable5[[#This Row],[Profit]]/RawSalesTable5[[#This Row],[Net_Revenue]],0))</f>
        <v>0.35989405142920211</v>
      </c>
      <c r="Y174">
        <f>RawSalesTable5[[#This Row],[Ship_Date]]-RawSalesTable5[[#This Row],[Order_Date]]</f>
        <v>3</v>
      </c>
      <c r="Z174" s="28">
        <f>DATE(YEAR(RawSalesTable5[[#This Row],[Order_Date]]),MONTH(RawSalesTable5[[#This Row],[Order_Date]]),1)</f>
        <v>45658</v>
      </c>
      <c r="AA174" t="str" cm="1">
        <f t="array" ref="AA174">IF(RawSalesTable5[[#This Row],[Lookup_Status]]="Missing Product","",_xlfn.IFS(RawSalesTable5[[#This Row],[Net_Revenue]]&gt;=20000,"High",RawSalesTable5[[#This Row],[Net_Revenue]]&gt;=10000,"Medium",TRUE,"Low"))</f>
        <v>Low</v>
      </c>
    </row>
    <row r="175" spans="1:27">
      <c r="A175" t="s">
        <v>307</v>
      </c>
      <c r="B175" s="15">
        <v>45907</v>
      </c>
      <c r="C175" s="15">
        <v>45911</v>
      </c>
      <c r="D175" t="s">
        <v>212</v>
      </c>
      <c r="E175" t="s">
        <v>111</v>
      </c>
      <c r="F175" t="s">
        <v>147</v>
      </c>
      <c r="G175" t="s">
        <v>125</v>
      </c>
      <c r="H175" t="s">
        <v>103</v>
      </c>
      <c r="I175" s="17">
        <v>1</v>
      </c>
      <c r="J175" s="16">
        <v>0.1</v>
      </c>
      <c r="K175" t="s">
        <v>112</v>
      </c>
      <c r="L175" t="s">
        <v>89</v>
      </c>
      <c r="M175" s="17">
        <v>4</v>
      </c>
      <c r="N175" t="str" cm="1">
        <f t="array" ref="N175">_xlfn.XLOOKUP(RawSalesTable5[[#This Row],[Product_Code]],ProductLookupTable[[#All],[Product_Code]],ProductLookupTable[[#All],[Product_Name]],"NOT FOUND")</f>
        <v>LED Desk Lamp</v>
      </c>
      <c r="O175" t="str" cm="1">
        <f t="array" ref="O175">_xlfn.XLOOKUP(RawSalesTable5[[#This Row],[Product_Code]],ProductLookupTable[[#All],[Product_Code]],ProductLookupTable[[#All],[Category]],"NOT FOUND")</f>
        <v>Furniture</v>
      </c>
      <c r="P175" cm="1">
        <f t="array" ref="P175">_xlfn.XLOOKUP(RawSalesTable5[[#This Row],[Product_Code]],ProductLookupTable[[#All],[Product_Code]],ProductLookupTable[[#All],[Unit_Price]],"NOT FOUND")</f>
        <v>1999</v>
      </c>
      <c r="Q175" t="str">
        <f>IF(COUNTIF(ProductLookupTable[Product_Code],RawSalesTable5[[#This Row],[Product_Code]])=0,"Missing Product","OK")</f>
        <v>OK</v>
      </c>
      <c r="R175" cm="1">
        <f t="array" ref="R175">_xlfn.XLOOKUP(RawSalesTable5[[#This Row],[Product_Code]],ProductLookupTable[[#All],[Product_Code]],ProductLookupTable[[#All],[Unit_Cost]],"NOT FOUND")</f>
        <v>1050</v>
      </c>
      <c r="S175">
        <f>IFERROR(RawSalesTable5[[#This Row],[Quantity]]*RawSalesTable5[[#This Row],[Unit_Price]],"NOT FOUND")</f>
        <v>1999</v>
      </c>
      <c r="T175">
        <f>IFERROR(RawSalesTable5[[#This Row],[Gross_Revenue]]*RawSalesTable5[[#This Row],[Discount_Pct]],"NOT FOUND")</f>
        <v>199.9</v>
      </c>
      <c r="U175">
        <f>IFERROR(RawSalesTable5[[#This Row],[Gross_Revenue]]-RawSalesTable5[[#This Row],[Discount_Value]],"NOT FOUND")</f>
        <v>1799.1</v>
      </c>
      <c r="V175">
        <f>IFERROR(RawSalesTable5[[#This Row],[Quantity]]*RawSalesTable5[[#This Row],[Unit_Cost]],"NOT FOUND")</f>
        <v>1050</v>
      </c>
      <c r="W175">
        <f>IFERROR(RawSalesTable5[[#This Row],[Net_Revenue]]-RawSalesTable5[[#This Row],[Cost]],"NOT FOUND")</f>
        <v>749.09999999999991</v>
      </c>
      <c r="X175" s="27">
        <f>IF(RawSalesTable5[[#This Row],[Lookup_Status]]="Missing Product","",IFERROR(RawSalesTable5[[#This Row],[Profit]]/RawSalesTable5[[#This Row],[Net_Revenue]],0))</f>
        <v>0.4163748540937135</v>
      </c>
      <c r="Y175">
        <f>RawSalesTable5[[#This Row],[Ship_Date]]-RawSalesTable5[[#This Row],[Order_Date]]</f>
        <v>4</v>
      </c>
      <c r="Z175" s="28">
        <f>DATE(YEAR(RawSalesTable5[[#This Row],[Order_Date]]),MONTH(RawSalesTable5[[#This Row],[Order_Date]]),1)</f>
        <v>45901</v>
      </c>
      <c r="AA175" t="str" cm="1">
        <f t="array" ref="AA175">IF(RawSalesTable5[[#This Row],[Lookup_Status]]="Missing Product","",_xlfn.IFS(RawSalesTable5[[#This Row],[Net_Revenue]]&gt;=20000,"High",RawSalesTable5[[#This Row],[Net_Revenue]]&gt;=10000,"Medium",TRUE,"Low"))</f>
        <v>Low</v>
      </c>
    </row>
    <row r="176" spans="1:27">
      <c r="A176" t="s">
        <v>308</v>
      </c>
      <c r="B176" s="15">
        <v>45950</v>
      </c>
      <c r="C176" s="15">
        <v>45952</v>
      </c>
      <c r="D176" t="s">
        <v>123</v>
      </c>
      <c r="E176" t="s">
        <v>84</v>
      </c>
      <c r="F176" t="s">
        <v>107</v>
      </c>
      <c r="G176" t="s">
        <v>108</v>
      </c>
      <c r="H176" t="s">
        <v>86</v>
      </c>
      <c r="I176" s="17">
        <v>4</v>
      </c>
      <c r="J176" s="16">
        <v>0</v>
      </c>
      <c r="K176" t="s">
        <v>140</v>
      </c>
      <c r="L176" t="s">
        <v>89</v>
      </c>
      <c r="M176" s="17">
        <v>3</v>
      </c>
      <c r="N176" t="str" cm="1">
        <f t="array" ref="N176">_xlfn.XLOOKUP(RawSalesTable5[[#This Row],[Product_Code]],ProductLookupTable[[#All],[Product_Code]],ProductLookupTable[[#All],[Product_Name]],"NOT FOUND")</f>
        <v>Bluetooth Speaker</v>
      </c>
      <c r="O176" t="str" cm="1">
        <f t="array" ref="O176">_xlfn.XLOOKUP(RawSalesTable5[[#This Row],[Product_Code]],ProductLookupTable[[#All],[Product_Code]],ProductLookupTable[[#All],[Category]],"NOT FOUND")</f>
        <v>Audio</v>
      </c>
      <c r="P176" cm="1">
        <f t="array" ref="P176">_xlfn.XLOOKUP(RawSalesTable5[[#This Row],[Product_Code]],ProductLookupTable[[#All],[Product_Code]],ProductLookupTable[[#All],[Unit_Price]],"NOT FOUND")</f>
        <v>2799</v>
      </c>
      <c r="Q176" t="str">
        <f>IF(COUNTIF(ProductLookupTable[Product_Code],RawSalesTable5[[#This Row],[Product_Code]])=0,"Missing Product","OK")</f>
        <v>OK</v>
      </c>
      <c r="R176" cm="1">
        <f t="array" ref="R176">_xlfn.XLOOKUP(RawSalesTable5[[#This Row],[Product_Code]],ProductLookupTable[[#All],[Product_Code]],ProductLookupTable[[#All],[Unit_Cost]],"NOT FOUND")</f>
        <v>1650</v>
      </c>
      <c r="S176">
        <f>IFERROR(RawSalesTable5[[#This Row],[Quantity]]*RawSalesTable5[[#This Row],[Unit_Price]],"NOT FOUND")</f>
        <v>11196</v>
      </c>
      <c r="T176">
        <f>IFERROR(RawSalesTable5[[#This Row],[Gross_Revenue]]*RawSalesTable5[[#This Row],[Discount_Pct]],"NOT FOUND")</f>
        <v>0</v>
      </c>
      <c r="U176">
        <f>IFERROR(RawSalesTable5[[#This Row],[Gross_Revenue]]-RawSalesTable5[[#This Row],[Discount_Value]],"NOT FOUND")</f>
        <v>11196</v>
      </c>
      <c r="V176">
        <f>IFERROR(RawSalesTable5[[#This Row],[Quantity]]*RawSalesTable5[[#This Row],[Unit_Cost]],"NOT FOUND")</f>
        <v>6600</v>
      </c>
      <c r="W176">
        <f>IFERROR(RawSalesTable5[[#This Row],[Net_Revenue]]-RawSalesTable5[[#This Row],[Cost]],"NOT FOUND")</f>
        <v>4596</v>
      </c>
      <c r="X176" s="27">
        <f>IF(RawSalesTable5[[#This Row],[Lookup_Status]]="Missing Product","",IFERROR(RawSalesTable5[[#This Row],[Profit]]/RawSalesTable5[[#This Row],[Net_Revenue]],0))</f>
        <v>0.41050375133976419</v>
      </c>
      <c r="Y176">
        <f>RawSalesTable5[[#This Row],[Ship_Date]]-RawSalesTable5[[#This Row],[Order_Date]]</f>
        <v>2</v>
      </c>
      <c r="Z176" s="28">
        <f>DATE(YEAR(RawSalesTable5[[#This Row],[Order_Date]]),MONTH(RawSalesTable5[[#This Row],[Order_Date]]),1)</f>
        <v>45931</v>
      </c>
      <c r="AA176" t="str" cm="1">
        <f t="array" ref="AA176">IF(RawSalesTable5[[#This Row],[Lookup_Status]]="Missing Product","",_xlfn.IFS(RawSalesTable5[[#This Row],[Net_Revenue]]&gt;=20000,"High",RawSalesTable5[[#This Row],[Net_Revenue]]&gt;=10000,"Medium",TRUE,"Low"))</f>
        <v>Medium</v>
      </c>
    </row>
    <row r="177" spans="1:27">
      <c r="A177" t="s">
        <v>309</v>
      </c>
      <c r="B177" s="15">
        <v>45810</v>
      </c>
      <c r="C177" s="15">
        <v>45815</v>
      </c>
      <c r="D177" t="s">
        <v>83</v>
      </c>
      <c r="E177" t="s">
        <v>92</v>
      </c>
      <c r="F177" t="s">
        <v>149</v>
      </c>
      <c r="G177" t="s">
        <v>86</v>
      </c>
      <c r="H177" t="s">
        <v>86</v>
      </c>
      <c r="I177" s="17">
        <v>2</v>
      </c>
      <c r="J177" s="16">
        <v>0.2</v>
      </c>
      <c r="K177" t="s">
        <v>140</v>
      </c>
      <c r="L177" t="s">
        <v>89</v>
      </c>
      <c r="M177" s="17">
        <v>3</v>
      </c>
      <c r="N177" t="str" cm="1">
        <f t="array" ref="N177">_xlfn.XLOOKUP(RawSalesTable5[[#This Row],[Product_Code]],ProductLookupTable[[#All],[Product_Code]],ProductLookupTable[[#All],[Product_Name]],"NOT FOUND")</f>
        <v>Portable HDD 2TB</v>
      </c>
      <c r="O177" t="str" cm="1">
        <f t="array" ref="O177">_xlfn.XLOOKUP(RawSalesTable5[[#This Row],[Product_Code]],ProductLookupTable[[#All],[Product_Code]],ProductLookupTable[[#All],[Category]],"NOT FOUND")</f>
        <v>Storage</v>
      </c>
      <c r="P177" cm="1">
        <f t="array" ref="P177">_xlfn.XLOOKUP(RawSalesTable5[[#This Row],[Product_Code]],ProductLookupTable[[#All],[Product_Code]],ProductLookupTable[[#All],[Unit_Price]],"NOT FOUND")</f>
        <v>5899</v>
      </c>
      <c r="Q177" t="str">
        <f>IF(COUNTIF(ProductLookupTable[Product_Code],RawSalesTable5[[#This Row],[Product_Code]])=0,"Missing Product","OK")</f>
        <v>OK</v>
      </c>
      <c r="R177" cm="1">
        <f t="array" ref="R177">_xlfn.XLOOKUP(RawSalesTable5[[#This Row],[Product_Code]],ProductLookupTable[[#All],[Product_Code]],ProductLookupTable[[#All],[Unit_Cost]],"NOT FOUND")</f>
        <v>4100</v>
      </c>
      <c r="S177">
        <f>IFERROR(RawSalesTable5[[#This Row],[Quantity]]*RawSalesTable5[[#This Row],[Unit_Price]],"NOT FOUND")</f>
        <v>11798</v>
      </c>
      <c r="T177">
        <f>IFERROR(RawSalesTable5[[#This Row],[Gross_Revenue]]*RawSalesTable5[[#This Row],[Discount_Pct]],"NOT FOUND")</f>
        <v>2359.6</v>
      </c>
      <c r="U177">
        <f>IFERROR(RawSalesTable5[[#This Row],[Gross_Revenue]]-RawSalesTable5[[#This Row],[Discount_Value]],"NOT FOUND")</f>
        <v>9438.4</v>
      </c>
      <c r="V177">
        <f>IFERROR(RawSalesTable5[[#This Row],[Quantity]]*RawSalesTable5[[#This Row],[Unit_Cost]],"NOT FOUND")</f>
        <v>8200</v>
      </c>
      <c r="W177">
        <f>IFERROR(RawSalesTable5[[#This Row],[Net_Revenue]]-RawSalesTable5[[#This Row],[Cost]],"NOT FOUND")</f>
        <v>1238.3999999999996</v>
      </c>
      <c r="X177" s="27">
        <f>IF(RawSalesTable5[[#This Row],[Lookup_Status]]="Missing Product","",IFERROR(RawSalesTable5[[#This Row],[Profit]]/RawSalesTable5[[#This Row],[Net_Revenue]],0))</f>
        <v>0.13120867943719272</v>
      </c>
      <c r="Y177">
        <f>RawSalesTable5[[#This Row],[Ship_Date]]-RawSalesTable5[[#This Row],[Order_Date]]</f>
        <v>5</v>
      </c>
      <c r="Z177" s="28">
        <f>DATE(YEAR(RawSalesTable5[[#This Row],[Order_Date]]),MONTH(RawSalesTable5[[#This Row],[Order_Date]]),1)</f>
        <v>45809</v>
      </c>
      <c r="AA177" t="str" cm="1">
        <f t="array" ref="AA177">IF(RawSalesTable5[[#This Row],[Lookup_Status]]="Missing Product","",_xlfn.IFS(RawSalesTable5[[#This Row],[Net_Revenue]]&gt;=20000,"High",RawSalesTable5[[#This Row],[Net_Revenue]]&gt;=10000,"Medium",TRUE,"Low"))</f>
        <v>Low</v>
      </c>
    </row>
    <row r="178" spans="1:27">
      <c r="A178" t="s">
        <v>310</v>
      </c>
      <c r="B178" s="15">
        <v>45787</v>
      </c>
      <c r="C178" s="15">
        <v>45790</v>
      </c>
      <c r="D178" t="s">
        <v>114</v>
      </c>
      <c r="E178" t="s">
        <v>98</v>
      </c>
      <c r="F178" t="s">
        <v>121</v>
      </c>
      <c r="G178" t="s">
        <v>108</v>
      </c>
      <c r="H178" t="s">
        <v>86</v>
      </c>
      <c r="I178" s="17">
        <v>3</v>
      </c>
      <c r="J178" s="16">
        <v>0.2</v>
      </c>
      <c r="K178" t="s">
        <v>140</v>
      </c>
      <c r="L178" t="s">
        <v>89</v>
      </c>
      <c r="M178" s="17">
        <v>3</v>
      </c>
      <c r="N178" t="str" cm="1">
        <f t="array" ref="N178">_xlfn.XLOOKUP(RawSalesTable5[[#This Row],[Product_Code]],ProductLookupTable[[#All],[Product_Code]],ProductLookupTable[[#All],[Product_Name]],"NOT FOUND")</f>
        <v>HD Webcam</v>
      </c>
      <c r="O178" t="str" cm="1">
        <f t="array" ref="O178">_xlfn.XLOOKUP(RawSalesTable5[[#This Row],[Product_Code]],ProductLookupTable[[#All],[Product_Code]],ProductLookupTable[[#All],[Category]],"NOT FOUND")</f>
        <v>Accessories</v>
      </c>
      <c r="P178" cm="1">
        <f t="array" ref="P178">_xlfn.XLOOKUP(RawSalesTable5[[#This Row],[Product_Code]],ProductLookupTable[[#All],[Product_Code]],ProductLookupTable[[#All],[Unit_Price]],"NOT FOUND")</f>
        <v>2899</v>
      </c>
      <c r="Q178" t="str">
        <f>IF(COUNTIF(ProductLookupTable[Product_Code],RawSalesTable5[[#This Row],[Product_Code]])=0,"Missing Product","OK")</f>
        <v>OK</v>
      </c>
      <c r="R178" cm="1">
        <f t="array" ref="R178">_xlfn.XLOOKUP(RawSalesTable5[[#This Row],[Product_Code]],ProductLookupTable[[#All],[Product_Code]],ProductLookupTable[[#All],[Unit_Cost]],"NOT FOUND")</f>
        <v>1700</v>
      </c>
      <c r="S178">
        <f>IFERROR(RawSalesTable5[[#This Row],[Quantity]]*RawSalesTable5[[#This Row],[Unit_Price]],"NOT FOUND")</f>
        <v>8697</v>
      </c>
      <c r="T178">
        <f>IFERROR(RawSalesTable5[[#This Row],[Gross_Revenue]]*RawSalesTable5[[#This Row],[Discount_Pct]],"NOT FOUND")</f>
        <v>1739.4</v>
      </c>
      <c r="U178">
        <f>IFERROR(RawSalesTable5[[#This Row],[Gross_Revenue]]-RawSalesTable5[[#This Row],[Discount_Value]],"NOT FOUND")</f>
        <v>6957.6</v>
      </c>
      <c r="V178">
        <f>IFERROR(RawSalesTable5[[#This Row],[Quantity]]*RawSalesTable5[[#This Row],[Unit_Cost]],"NOT FOUND")</f>
        <v>5100</v>
      </c>
      <c r="W178">
        <f>IFERROR(RawSalesTable5[[#This Row],[Net_Revenue]]-RawSalesTable5[[#This Row],[Cost]],"NOT FOUND")</f>
        <v>1857.6000000000004</v>
      </c>
      <c r="X178" s="27">
        <f>IF(RawSalesTable5[[#This Row],[Lookup_Status]]="Missing Product","",IFERROR(RawSalesTable5[[#This Row],[Profit]]/RawSalesTable5[[#This Row],[Net_Revenue]],0))</f>
        <v>0.26698861676440155</v>
      </c>
      <c r="Y178">
        <f>RawSalesTable5[[#This Row],[Ship_Date]]-RawSalesTable5[[#This Row],[Order_Date]]</f>
        <v>3</v>
      </c>
      <c r="Z178" s="28">
        <f>DATE(YEAR(RawSalesTable5[[#This Row],[Order_Date]]),MONTH(RawSalesTable5[[#This Row],[Order_Date]]),1)</f>
        <v>45778</v>
      </c>
      <c r="AA178" t="str" cm="1">
        <f t="array" ref="AA178">IF(RawSalesTable5[[#This Row],[Lookup_Status]]="Missing Product","",_xlfn.IFS(RawSalesTable5[[#This Row],[Net_Revenue]]&gt;=20000,"High",RawSalesTable5[[#This Row],[Net_Revenue]]&gt;=10000,"Medium",TRUE,"Low"))</f>
        <v>Low</v>
      </c>
    </row>
    <row r="179" spans="1:27">
      <c r="A179" t="s">
        <v>311</v>
      </c>
      <c r="B179" s="15">
        <v>45665</v>
      </c>
      <c r="C179" s="15">
        <v>45667</v>
      </c>
      <c r="D179" t="s">
        <v>157</v>
      </c>
      <c r="E179" t="s">
        <v>101</v>
      </c>
      <c r="F179" t="s">
        <v>124</v>
      </c>
      <c r="G179" t="s">
        <v>94</v>
      </c>
      <c r="H179" t="s">
        <v>103</v>
      </c>
      <c r="I179" s="17">
        <v>1</v>
      </c>
      <c r="J179" s="16">
        <v>0.2</v>
      </c>
      <c r="K179" t="s">
        <v>119</v>
      </c>
      <c r="L179" t="s">
        <v>89</v>
      </c>
      <c r="M179" s="17">
        <v>3</v>
      </c>
      <c r="N179" t="str" cm="1">
        <f t="array" ref="N179">_xlfn.XLOOKUP(RawSalesTable5[[#This Row],[Product_Code]],ProductLookupTable[[#All],[Product_Code]],ProductLookupTable[[#All],[Product_Name]],"NOT FOUND")</f>
        <v>Wireless Mouse</v>
      </c>
      <c r="O179" t="str" cm="1">
        <f t="array" ref="O179">_xlfn.XLOOKUP(RawSalesTable5[[#This Row],[Product_Code]],ProductLookupTable[[#All],[Product_Code]],ProductLookupTable[[#All],[Category]],"NOT FOUND")</f>
        <v>Accessories</v>
      </c>
      <c r="P179" cm="1">
        <f t="array" ref="P179">_xlfn.XLOOKUP(RawSalesTable5[[#This Row],[Product_Code]],ProductLookupTable[[#All],[Product_Code]],ProductLookupTable[[#All],[Unit_Price]],"NOT FOUND")</f>
        <v>799</v>
      </c>
      <c r="Q179" t="str">
        <f>IF(COUNTIF(ProductLookupTable[Product_Code],RawSalesTable5[[#This Row],[Product_Code]])=0,"Missing Product","OK")</f>
        <v>OK</v>
      </c>
      <c r="R179" cm="1">
        <f t="array" ref="R179">_xlfn.XLOOKUP(RawSalesTable5[[#This Row],[Product_Code]],ProductLookupTable[[#All],[Product_Code]],ProductLookupTable[[#All],[Unit_Cost]],"NOT FOUND")</f>
        <v>420</v>
      </c>
      <c r="S179">
        <f>IFERROR(RawSalesTable5[[#This Row],[Quantity]]*RawSalesTable5[[#This Row],[Unit_Price]],"NOT FOUND")</f>
        <v>799</v>
      </c>
      <c r="T179">
        <f>IFERROR(RawSalesTable5[[#This Row],[Gross_Revenue]]*RawSalesTable5[[#This Row],[Discount_Pct]],"NOT FOUND")</f>
        <v>159.80000000000001</v>
      </c>
      <c r="U179">
        <f>IFERROR(RawSalesTable5[[#This Row],[Gross_Revenue]]-RawSalesTable5[[#This Row],[Discount_Value]],"NOT FOUND")</f>
        <v>639.20000000000005</v>
      </c>
      <c r="V179">
        <f>IFERROR(RawSalesTable5[[#This Row],[Quantity]]*RawSalesTable5[[#This Row],[Unit_Cost]],"NOT FOUND")</f>
        <v>420</v>
      </c>
      <c r="W179">
        <f>IFERROR(RawSalesTable5[[#This Row],[Net_Revenue]]-RawSalesTable5[[#This Row],[Cost]],"NOT FOUND")</f>
        <v>219.20000000000005</v>
      </c>
      <c r="X179" s="27">
        <f>IF(RawSalesTable5[[#This Row],[Lookup_Status]]="Missing Product","",IFERROR(RawSalesTable5[[#This Row],[Profit]]/RawSalesTable5[[#This Row],[Net_Revenue]],0))</f>
        <v>0.34292866082603257</v>
      </c>
      <c r="Y179">
        <f>RawSalesTable5[[#This Row],[Ship_Date]]-RawSalesTable5[[#This Row],[Order_Date]]</f>
        <v>2</v>
      </c>
      <c r="Z179" s="28">
        <f>DATE(YEAR(RawSalesTable5[[#This Row],[Order_Date]]),MONTH(RawSalesTable5[[#This Row],[Order_Date]]),1)</f>
        <v>45658</v>
      </c>
      <c r="AA179" t="str" cm="1">
        <f t="array" ref="AA179">IF(RawSalesTable5[[#This Row],[Lookup_Status]]="Missing Product","",_xlfn.IFS(RawSalesTable5[[#This Row],[Net_Revenue]]&gt;=20000,"High",RawSalesTable5[[#This Row],[Net_Revenue]]&gt;=10000,"Medium",TRUE,"Low"))</f>
        <v>Low</v>
      </c>
    </row>
    <row r="180" spans="1:27">
      <c r="A180" t="s">
        <v>312</v>
      </c>
      <c r="B180" s="15">
        <v>45668</v>
      </c>
      <c r="C180" s="15">
        <v>45675</v>
      </c>
      <c r="D180" t="s">
        <v>212</v>
      </c>
      <c r="E180" t="s">
        <v>106</v>
      </c>
      <c r="F180" t="s">
        <v>85</v>
      </c>
      <c r="G180" t="s">
        <v>125</v>
      </c>
      <c r="H180" t="s">
        <v>87</v>
      </c>
      <c r="I180" s="17">
        <v>1</v>
      </c>
      <c r="J180" s="16">
        <v>0</v>
      </c>
      <c r="K180" t="s">
        <v>88</v>
      </c>
      <c r="L180" t="s">
        <v>89</v>
      </c>
      <c r="M180" s="17">
        <v>5</v>
      </c>
      <c r="N180" t="str" cm="1">
        <f t="array" ref="N180">_xlfn.XLOOKUP(RawSalesTable5[[#This Row],[Product_Code]],ProductLookupTable[[#All],[Product_Code]],ProductLookupTable[[#All],[Product_Name]],"NOT FOUND")</f>
        <v>Ergonomic Chair</v>
      </c>
      <c r="O180" t="str" cm="1">
        <f t="array" ref="O180">_xlfn.XLOOKUP(RawSalesTable5[[#This Row],[Product_Code]],ProductLookupTable[[#All],[Product_Code]],ProductLookupTable[[#All],[Category]],"NOT FOUND")</f>
        <v>Furniture</v>
      </c>
      <c r="P180" cm="1">
        <f t="array" ref="P180">_xlfn.XLOOKUP(RawSalesTable5[[#This Row],[Product_Code]],ProductLookupTable[[#All],[Product_Code]],ProductLookupTable[[#All],[Unit_Price]],"NOT FOUND")</f>
        <v>10499</v>
      </c>
      <c r="Q180" t="str">
        <f>IF(COUNTIF(ProductLookupTable[Product_Code],RawSalesTable5[[#This Row],[Product_Code]])=0,"Missing Product","OK")</f>
        <v>OK</v>
      </c>
      <c r="R180" cm="1">
        <f t="array" ref="R180">_xlfn.XLOOKUP(RawSalesTable5[[#This Row],[Product_Code]],ProductLookupTable[[#All],[Product_Code]],ProductLookupTable[[#All],[Unit_Cost]],"NOT FOUND")</f>
        <v>7600</v>
      </c>
      <c r="S180">
        <f>IFERROR(RawSalesTable5[[#This Row],[Quantity]]*RawSalesTable5[[#This Row],[Unit_Price]],"NOT FOUND")</f>
        <v>10499</v>
      </c>
      <c r="T180">
        <f>IFERROR(RawSalesTable5[[#This Row],[Gross_Revenue]]*RawSalesTable5[[#This Row],[Discount_Pct]],"NOT FOUND")</f>
        <v>0</v>
      </c>
      <c r="U180">
        <f>IFERROR(RawSalesTable5[[#This Row],[Gross_Revenue]]-RawSalesTable5[[#This Row],[Discount_Value]],"NOT FOUND")</f>
        <v>10499</v>
      </c>
      <c r="V180">
        <f>IFERROR(RawSalesTable5[[#This Row],[Quantity]]*RawSalesTable5[[#This Row],[Unit_Cost]],"NOT FOUND")</f>
        <v>7600</v>
      </c>
      <c r="W180">
        <f>IFERROR(RawSalesTable5[[#This Row],[Net_Revenue]]-RawSalesTable5[[#This Row],[Cost]],"NOT FOUND")</f>
        <v>2899</v>
      </c>
      <c r="X180" s="27">
        <f>IF(RawSalesTable5[[#This Row],[Lookup_Status]]="Missing Product","",IFERROR(RawSalesTable5[[#This Row],[Profit]]/RawSalesTable5[[#This Row],[Net_Revenue]],0))</f>
        <v>0.27612153538432233</v>
      </c>
      <c r="Y180">
        <f>RawSalesTable5[[#This Row],[Ship_Date]]-RawSalesTable5[[#This Row],[Order_Date]]</f>
        <v>7</v>
      </c>
      <c r="Z180" s="28">
        <f>DATE(YEAR(RawSalesTable5[[#This Row],[Order_Date]]),MONTH(RawSalesTable5[[#This Row],[Order_Date]]),1)</f>
        <v>45658</v>
      </c>
      <c r="AA180" t="str" cm="1">
        <f t="array" ref="AA180">IF(RawSalesTable5[[#This Row],[Lookup_Status]]="Missing Product","",_xlfn.IFS(RawSalesTable5[[#This Row],[Net_Revenue]]&gt;=20000,"High",RawSalesTable5[[#This Row],[Net_Revenue]]&gt;=10000,"Medium",TRUE,"Low"))</f>
        <v>Medium</v>
      </c>
    </row>
    <row r="181" spans="1:27">
      <c r="A181" t="s">
        <v>313</v>
      </c>
      <c r="B181" s="15">
        <v>45976</v>
      </c>
      <c r="C181" s="15">
        <v>45983</v>
      </c>
      <c r="D181" t="s">
        <v>123</v>
      </c>
      <c r="E181" t="s">
        <v>111</v>
      </c>
      <c r="F181" t="s">
        <v>190</v>
      </c>
      <c r="G181" t="s">
        <v>94</v>
      </c>
      <c r="H181" t="s">
        <v>103</v>
      </c>
      <c r="I181" s="17">
        <v>2</v>
      </c>
      <c r="J181" s="16">
        <v>0.2</v>
      </c>
      <c r="K181" t="s">
        <v>95</v>
      </c>
      <c r="L181" t="s">
        <v>89</v>
      </c>
      <c r="M181" s="17">
        <v>5</v>
      </c>
      <c r="N181" t="str" cm="1">
        <f t="array" ref="N181">_xlfn.XLOOKUP(RawSalesTable5[[#This Row],[Product_Code]],ProductLookupTable[[#All],[Product_Code]],ProductLookupTable[[#All],[Product_Name]],"NOT FOUND")</f>
        <v>NOT FOUND</v>
      </c>
      <c r="O181" t="str" cm="1">
        <f t="array" ref="O181">_xlfn.XLOOKUP(RawSalesTable5[[#This Row],[Product_Code]],ProductLookupTable[[#All],[Product_Code]],ProductLookupTable[[#All],[Category]],"NOT FOUND")</f>
        <v>NOT FOUND</v>
      </c>
      <c r="P181" t="str" cm="1">
        <f t="array" ref="P181">_xlfn.XLOOKUP(RawSalesTable5[[#This Row],[Product_Code]],ProductLookupTable[[#All],[Product_Code]],ProductLookupTable[[#All],[Unit_Price]],"NOT FOUND")</f>
        <v>NOT FOUND</v>
      </c>
      <c r="Q181" t="str">
        <f>IF(COUNTIF(ProductLookupTable[Product_Code],RawSalesTable5[[#This Row],[Product_Code]])=0,"Missing Product","OK")</f>
        <v>Missing Product</v>
      </c>
      <c r="R181" t="str" cm="1">
        <f t="array" ref="R181">_xlfn.XLOOKUP(RawSalesTable5[[#This Row],[Product_Code]],ProductLookupTable[[#All],[Product_Code]],ProductLookupTable[[#All],[Unit_Cost]],"NOT FOUND")</f>
        <v>NOT FOUND</v>
      </c>
      <c r="S181" t="str">
        <f>IFERROR(RawSalesTable5[[#This Row],[Quantity]]*RawSalesTable5[[#This Row],[Unit_Price]],"NOT FOUND")</f>
        <v>NOT FOUND</v>
      </c>
      <c r="T181" t="str">
        <f>IFERROR(RawSalesTable5[[#This Row],[Gross_Revenue]]*RawSalesTable5[[#This Row],[Discount_Pct]],"NOT FOUND")</f>
        <v>NOT FOUND</v>
      </c>
      <c r="U181" t="str">
        <f>IFERROR(RawSalesTable5[[#This Row],[Gross_Revenue]]-RawSalesTable5[[#This Row],[Discount_Value]],"NOT FOUND")</f>
        <v>NOT FOUND</v>
      </c>
      <c r="V181" t="str">
        <f>IFERROR(RawSalesTable5[[#This Row],[Quantity]]*RawSalesTable5[[#This Row],[Unit_Cost]],"NOT FOUND")</f>
        <v>NOT FOUND</v>
      </c>
      <c r="W181" t="str">
        <f>IFERROR(RawSalesTable5[[#This Row],[Net_Revenue]]-RawSalesTable5[[#This Row],[Cost]],"NOT FOUND")</f>
        <v>NOT FOUND</v>
      </c>
      <c r="X181" s="27" t="str">
        <f>IF(RawSalesTable5[[#This Row],[Lookup_Status]]="Missing Product","",IFERROR(RawSalesTable5[[#This Row],[Profit]]/RawSalesTable5[[#This Row],[Net_Revenue]],0))</f>
        <v/>
      </c>
      <c r="Y181">
        <f>RawSalesTable5[[#This Row],[Ship_Date]]-RawSalesTable5[[#This Row],[Order_Date]]</f>
        <v>7</v>
      </c>
      <c r="Z181" s="28">
        <f>DATE(YEAR(RawSalesTable5[[#This Row],[Order_Date]]),MONTH(RawSalesTable5[[#This Row],[Order_Date]]),1)</f>
        <v>45962</v>
      </c>
      <c r="AA181" t="str" cm="1">
        <f t="array" ref="AA181">IF(RawSalesTable5[[#This Row],[Lookup_Status]]="Missing Product","",_xlfn.IFS(RawSalesTable5[[#This Row],[Net_Revenue]]&gt;=20000,"High",RawSalesTable5[[#This Row],[Net_Revenue]]&gt;=10000,"Medium",TRUE,"Low"))</f>
        <v/>
      </c>
    </row>
    <row r="182" spans="1:27">
      <c r="A182" t="s">
        <v>314</v>
      </c>
      <c r="B182" s="15">
        <v>45734</v>
      </c>
      <c r="C182" s="15">
        <v>45735</v>
      </c>
      <c r="D182" t="s">
        <v>83</v>
      </c>
      <c r="E182" t="s">
        <v>84</v>
      </c>
      <c r="F182" t="s">
        <v>154</v>
      </c>
      <c r="G182" t="s">
        <v>94</v>
      </c>
      <c r="H182" t="s">
        <v>87</v>
      </c>
      <c r="I182" s="17">
        <v>5</v>
      </c>
      <c r="J182" s="16">
        <v>0</v>
      </c>
      <c r="K182" t="s">
        <v>88</v>
      </c>
      <c r="L182" t="s">
        <v>89</v>
      </c>
      <c r="M182" s="17">
        <v>3</v>
      </c>
      <c r="N182" t="str" cm="1">
        <f t="array" ref="N182">_xlfn.XLOOKUP(RawSalesTable5[[#This Row],[Product_Code]],ProductLookupTable[[#All],[Product_Code]],ProductLookupTable[[#All],[Product_Name]],"NOT FOUND")</f>
        <v>Laptop Stand</v>
      </c>
      <c r="O182" t="str" cm="1">
        <f t="array" ref="O182">_xlfn.XLOOKUP(RawSalesTable5[[#This Row],[Product_Code]],ProductLookupTable[[#All],[Product_Code]],ProductLookupTable[[#All],[Category]],"NOT FOUND")</f>
        <v>Accessories</v>
      </c>
      <c r="P182" cm="1">
        <f t="array" ref="P182">_xlfn.XLOOKUP(RawSalesTable5[[#This Row],[Product_Code]],ProductLookupTable[[#All],[Product_Code]],ProductLookupTable[[#All],[Unit_Price]],"NOT FOUND")</f>
        <v>1899</v>
      </c>
      <c r="Q182" t="str">
        <f>IF(COUNTIF(ProductLookupTable[Product_Code],RawSalesTable5[[#This Row],[Product_Code]])=0,"Missing Product","OK")</f>
        <v>OK</v>
      </c>
      <c r="R182" cm="1">
        <f t="array" ref="R182">_xlfn.XLOOKUP(RawSalesTable5[[#This Row],[Product_Code]],ProductLookupTable[[#All],[Product_Code]],ProductLookupTable[[#All],[Unit_Cost]],"NOT FOUND")</f>
        <v>980</v>
      </c>
      <c r="S182">
        <f>IFERROR(RawSalesTable5[[#This Row],[Quantity]]*RawSalesTable5[[#This Row],[Unit_Price]],"NOT FOUND")</f>
        <v>9495</v>
      </c>
      <c r="T182">
        <f>IFERROR(RawSalesTable5[[#This Row],[Gross_Revenue]]*RawSalesTable5[[#This Row],[Discount_Pct]],"NOT FOUND")</f>
        <v>0</v>
      </c>
      <c r="U182">
        <f>IFERROR(RawSalesTable5[[#This Row],[Gross_Revenue]]-RawSalesTable5[[#This Row],[Discount_Value]],"NOT FOUND")</f>
        <v>9495</v>
      </c>
      <c r="V182">
        <f>IFERROR(RawSalesTable5[[#This Row],[Quantity]]*RawSalesTable5[[#This Row],[Unit_Cost]],"NOT FOUND")</f>
        <v>4900</v>
      </c>
      <c r="W182">
        <f>IFERROR(RawSalesTable5[[#This Row],[Net_Revenue]]-RawSalesTable5[[#This Row],[Cost]],"NOT FOUND")</f>
        <v>4595</v>
      </c>
      <c r="X182" s="27">
        <f>IF(RawSalesTable5[[#This Row],[Lookup_Status]]="Missing Product","",IFERROR(RawSalesTable5[[#This Row],[Profit]]/RawSalesTable5[[#This Row],[Net_Revenue]],0))</f>
        <v>0.48393891521853605</v>
      </c>
      <c r="Y182">
        <f>RawSalesTable5[[#This Row],[Ship_Date]]-RawSalesTable5[[#This Row],[Order_Date]]</f>
        <v>1</v>
      </c>
      <c r="Z182" s="28">
        <f>DATE(YEAR(RawSalesTable5[[#This Row],[Order_Date]]),MONTH(RawSalesTable5[[#This Row],[Order_Date]]),1)</f>
        <v>45717</v>
      </c>
      <c r="AA182" t="str" cm="1">
        <f t="array" ref="AA182">IF(RawSalesTable5[[#This Row],[Lookup_Status]]="Missing Product","",_xlfn.IFS(RawSalesTable5[[#This Row],[Net_Revenue]]&gt;=20000,"High",RawSalesTable5[[#This Row],[Net_Revenue]]&gt;=10000,"Medium",TRUE,"Low"))</f>
        <v>Low</v>
      </c>
    </row>
    <row r="183" spans="1:27">
      <c r="A183" t="s">
        <v>315</v>
      </c>
      <c r="B183" s="15">
        <v>45661</v>
      </c>
      <c r="C183" s="15">
        <v>45664</v>
      </c>
      <c r="D183" t="s">
        <v>114</v>
      </c>
      <c r="E183" t="s">
        <v>92</v>
      </c>
      <c r="F183" t="s">
        <v>154</v>
      </c>
      <c r="G183" t="s">
        <v>86</v>
      </c>
      <c r="H183" t="s">
        <v>103</v>
      </c>
      <c r="I183" s="17">
        <v>3</v>
      </c>
      <c r="J183" s="16">
        <v>0</v>
      </c>
      <c r="K183" t="s">
        <v>88</v>
      </c>
      <c r="L183" t="s">
        <v>89</v>
      </c>
      <c r="M183" s="17">
        <v>3</v>
      </c>
      <c r="N183" t="str" cm="1">
        <f t="array" ref="N183">_xlfn.XLOOKUP(RawSalesTable5[[#This Row],[Product_Code]],ProductLookupTable[[#All],[Product_Code]],ProductLookupTable[[#All],[Product_Name]],"NOT FOUND")</f>
        <v>Laptop Stand</v>
      </c>
      <c r="O183" t="str" cm="1">
        <f t="array" ref="O183">_xlfn.XLOOKUP(RawSalesTable5[[#This Row],[Product_Code]],ProductLookupTable[[#All],[Product_Code]],ProductLookupTable[[#All],[Category]],"NOT FOUND")</f>
        <v>Accessories</v>
      </c>
      <c r="P183" cm="1">
        <f t="array" ref="P183">_xlfn.XLOOKUP(RawSalesTable5[[#This Row],[Product_Code]],ProductLookupTable[[#All],[Product_Code]],ProductLookupTable[[#All],[Unit_Price]],"NOT FOUND")</f>
        <v>1899</v>
      </c>
      <c r="Q183" t="str">
        <f>IF(COUNTIF(ProductLookupTable[Product_Code],RawSalesTable5[[#This Row],[Product_Code]])=0,"Missing Product","OK")</f>
        <v>OK</v>
      </c>
      <c r="R183" cm="1">
        <f t="array" ref="R183">_xlfn.XLOOKUP(RawSalesTable5[[#This Row],[Product_Code]],ProductLookupTable[[#All],[Product_Code]],ProductLookupTable[[#All],[Unit_Cost]],"NOT FOUND")</f>
        <v>980</v>
      </c>
      <c r="S183">
        <f>IFERROR(RawSalesTable5[[#This Row],[Quantity]]*RawSalesTable5[[#This Row],[Unit_Price]],"NOT FOUND")</f>
        <v>5697</v>
      </c>
      <c r="T183">
        <f>IFERROR(RawSalesTable5[[#This Row],[Gross_Revenue]]*RawSalesTable5[[#This Row],[Discount_Pct]],"NOT FOUND")</f>
        <v>0</v>
      </c>
      <c r="U183">
        <f>IFERROR(RawSalesTable5[[#This Row],[Gross_Revenue]]-RawSalesTable5[[#This Row],[Discount_Value]],"NOT FOUND")</f>
        <v>5697</v>
      </c>
      <c r="V183">
        <f>IFERROR(RawSalesTable5[[#This Row],[Quantity]]*RawSalesTable5[[#This Row],[Unit_Cost]],"NOT FOUND")</f>
        <v>2940</v>
      </c>
      <c r="W183">
        <f>IFERROR(RawSalesTable5[[#This Row],[Net_Revenue]]-RawSalesTable5[[#This Row],[Cost]],"NOT FOUND")</f>
        <v>2757</v>
      </c>
      <c r="X183" s="27">
        <f>IF(RawSalesTable5[[#This Row],[Lookup_Status]]="Missing Product","",IFERROR(RawSalesTable5[[#This Row],[Profit]]/RawSalesTable5[[#This Row],[Net_Revenue]],0))</f>
        <v>0.48393891521853605</v>
      </c>
      <c r="Y183">
        <f>RawSalesTable5[[#This Row],[Ship_Date]]-RawSalesTable5[[#This Row],[Order_Date]]</f>
        <v>3</v>
      </c>
      <c r="Z183" s="28">
        <f>DATE(YEAR(RawSalesTable5[[#This Row],[Order_Date]]),MONTH(RawSalesTable5[[#This Row],[Order_Date]]),1)</f>
        <v>45658</v>
      </c>
      <c r="AA183" t="str" cm="1">
        <f t="array" ref="AA183">IF(RawSalesTable5[[#This Row],[Lookup_Status]]="Missing Product","",_xlfn.IFS(RawSalesTable5[[#This Row],[Net_Revenue]]&gt;=20000,"High",RawSalesTable5[[#This Row],[Net_Revenue]]&gt;=10000,"Medium",TRUE,"Low"))</f>
        <v>Low</v>
      </c>
    </row>
    <row r="184" spans="1:27">
      <c r="A184" t="s">
        <v>316</v>
      </c>
      <c r="B184" s="15">
        <v>45782</v>
      </c>
      <c r="C184" s="15">
        <v>45783</v>
      </c>
      <c r="D184" t="s">
        <v>157</v>
      </c>
      <c r="E184" t="s">
        <v>98</v>
      </c>
      <c r="F184" t="s">
        <v>124</v>
      </c>
      <c r="G184" t="s">
        <v>86</v>
      </c>
      <c r="H184" t="s">
        <v>103</v>
      </c>
      <c r="I184" s="17">
        <v>5</v>
      </c>
      <c r="J184" s="16">
        <v>0</v>
      </c>
      <c r="K184" t="s">
        <v>88</v>
      </c>
      <c r="L184" t="s">
        <v>89</v>
      </c>
      <c r="M184" s="17">
        <v>4</v>
      </c>
      <c r="N184" t="str" cm="1">
        <f t="array" ref="N184">_xlfn.XLOOKUP(RawSalesTable5[[#This Row],[Product_Code]],ProductLookupTable[[#All],[Product_Code]],ProductLookupTable[[#All],[Product_Name]],"NOT FOUND")</f>
        <v>Wireless Mouse</v>
      </c>
      <c r="O184" t="str" cm="1">
        <f t="array" ref="O184">_xlfn.XLOOKUP(RawSalesTable5[[#This Row],[Product_Code]],ProductLookupTable[[#All],[Product_Code]],ProductLookupTable[[#All],[Category]],"NOT FOUND")</f>
        <v>Accessories</v>
      </c>
      <c r="P184" cm="1">
        <f t="array" ref="P184">_xlfn.XLOOKUP(RawSalesTable5[[#This Row],[Product_Code]],ProductLookupTable[[#All],[Product_Code]],ProductLookupTable[[#All],[Unit_Price]],"NOT FOUND")</f>
        <v>799</v>
      </c>
      <c r="Q184" t="str">
        <f>IF(COUNTIF(ProductLookupTable[Product_Code],RawSalesTable5[[#This Row],[Product_Code]])=0,"Missing Product","OK")</f>
        <v>OK</v>
      </c>
      <c r="R184" cm="1">
        <f t="array" ref="R184">_xlfn.XLOOKUP(RawSalesTable5[[#This Row],[Product_Code]],ProductLookupTable[[#All],[Product_Code]],ProductLookupTable[[#All],[Unit_Cost]],"NOT FOUND")</f>
        <v>420</v>
      </c>
      <c r="S184">
        <f>IFERROR(RawSalesTable5[[#This Row],[Quantity]]*RawSalesTable5[[#This Row],[Unit_Price]],"NOT FOUND")</f>
        <v>3995</v>
      </c>
      <c r="T184">
        <f>IFERROR(RawSalesTable5[[#This Row],[Gross_Revenue]]*RawSalesTable5[[#This Row],[Discount_Pct]],"NOT FOUND")</f>
        <v>0</v>
      </c>
      <c r="U184">
        <f>IFERROR(RawSalesTable5[[#This Row],[Gross_Revenue]]-RawSalesTable5[[#This Row],[Discount_Value]],"NOT FOUND")</f>
        <v>3995</v>
      </c>
      <c r="V184">
        <f>IFERROR(RawSalesTable5[[#This Row],[Quantity]]*RawSalesTable5[[#This Row],[Unit_Cost]],"NOT FOUND")</f>
        <v>2100</v>
      </c>
      <c r="W184">
        <f>IFERROR(RawSalesTable5[[#This Row],[Net_Revenue]]-RawSalesTable5[[#This Row],[Cost]],"NOT FOUND")</f>
        <v>1895</v>
      </c>
      <c r="X184" s="27">
        <f>IF(RawSalesTable5[[#This Row],[Lookup_Status]]="Missing Product","",IFERROR(RawSalesTable5[[#This Row],[Profit]]/RawSalesTable5[[#This Row],[Net_Revenue]],0))</f>
        <v>0.47434292866082606</v>
      </c>
      <c r="Y184">
        <f>RawSalesTable5[[#This Row],[Ship_Date]]-RawSalesTable5[[#This Row],[Order_Date]]</f>
        <v>1</v>
      </c>
      <c r="Z184" s="28">
        <f>DATE(YEAR(RawSalesTable5[[#This Row],[Order_Date]]),MONTH(RawSalesTable5[[#This Row],[Order_Date]]),1)</f>
        <v>45778</v>
      </c>
      <c r="AA184" t="str" cm="1">
        <f t="array" ref="AA184">IF(RawSalesTable5[[#This Row],[Lookup_Status]]="Missing Product","",_xlfn.IFS(RawSalesTable5[[#This Row],[Net_Revenue]]&gt;=20000,"High",RawSalesTable5[[#This Row],[Net_Revenue]]&gt;=10000,"Medium",TRUE,"Low"))</f>
        <v>Low</v>
      </c>
    </row>
    <row r="185" spans="1:27">
      <c r="A185" t="s">
        <v>317</v>
      </c>
      <c r="B185" s="15">
        <v>45890</v>
      </c>
      <c r="C185" s="15">
        <v>45894</v>
      </c>
      <c r="D185" t="s">
        <v>212</v>
      </c>
      <c r="E185" t="s">
        <v>101</v>
      </c>
      <c r="F185" t="s">
        <v>102</v>
      </c>
      <c r="G185" t="s">
        <v>94</v>
      </c>
      <c r="H185" t="s">
        <v>87</v>
      </c>
      <c r="I185" s="17">
        <v>1</v>
      </c>
      <c r="J185" s="16">
        <v>0.05</v>
      </c>
      <c r="K185" t="s">
        <v>88</v>
      </c>
      <c r="L185" t="s">
        <v>126</v>
      </c>
      <c r="M185" s="17">
        <v>3</v>
      </c>
      <c r="N185" t="str" cm="1">
        <f t="array" ref="N185">_xlfn.XLOOKUP(RawSalesTable5[[#This Row],[Product_Code]],ProductLookupTable[[#All],[Product_Code]],ProductLookupTable[[#All],[Product_Name]],"NOT FOUND")</f>
        <v>SSD 1TB</v>
      </c>
      <c r="O185" t="str" cm="1">
        <f t="array" ref="O185">_xlfn.XLOOKUP(RawSalesTable5[[#This Row],[Product_Code]],ProductLookupTable[[#All],[Product_Code]],ProductLookupTable[[#All],[Category]],"NOT FOUND")</f>
        <v>Storage</v>
      </c>
      <c r="P185" cm="1">
        <f t="array" ref="P185">_xlfn.XLOOKUP(RawSalesTable5[[#This Row],[Product_Code]],ProductLookupTable[[#All],[Product_Code]],ProductLookupTable[[#All],[Unit_Price]],"NOT FOUND")</f>
        <v>6999</v>
      </c>
      <c r="Q185" t="str">
        <f>IF(COUNTIF(ProductLookupTable[Product_Code],RawSalesTable5[[#This Row],[Product_Code]])=0,"Missing Product","OK")</f>
        <v>OK</v>
      </c>
      <c r="R185" cm="1">
        <f t="array" ref="R185">_xlfn.XLOOKUP(RawSalesTable5[[#This Row],[Product_Code]],ProductLookupTable[[#All],[Product_Code]],ProductLookupTable[[#All],[Unit_Cost]],"NOT FOUND")</f>
        <v>4900</v>
      </c>
      <c r="S185">
        <f>IFERROR(RawSalesTable5[[#This Row],[Quantity]]*RawSalesTable5[[#This Row],[Unit_Price]],"NOT FOUND")</f>
        <v>6999</v>
      </c>
      <c r="T185">
        <f>IFERROR(RawSalesTable5[[#This Row],[Gross_Revenue]]*RawSalesTable5[[#This Row],[Discount_Pct]],"NOT FOUND")</f>
        <v>349.95000000000005</v>
      </c>
      <c r="U185">
        <f>IFERROR(RawSalesTable5[[#This Row],[Gross_Revenue]]-RawSalesTable5[[#This Row],[Discount_Value]],"NOT FOUND")</f>
        <v>6649.05</v>
      </c>
      <c r="V185">
        <f>IFERROR(RawSalesTable5[[#This Row],[Quantity]]*RawSalesTable5[[#This Row],[Unit_Cost]],"NOT FOUND")</f>
        <v>4900</v>
      </c>
      <c r="W185">
        <f>IFERROR(RawSalesTable5[[#This Row],[Net_Revenue]]-RawSalesTable5[[#This Row],[Cost]],"NOT FOUND")</f>
        <v>1749.0500000000002</v>
      </c>
      <c r="X185" s="27">
        <f>IF(RawSalesTable5[[#This Row],[Lookup_Status]]="Missing Product","",IFERROR(RawSalesTable5[[#This Row],[Profit]]/RawSalesTable5[[#This Row],[Net_Revenue]],0))</f>
        <v>0.26305261653920486</v>
      </c>
      <c r="Y185">
        <f>RawSalesTable5[[#This Row],[Ship_Date]]-RawSalesTable5[[#This Row],[Order_Date]]</f>
        <v>4</v>
      </c>
      <c r="Z185" s="28">
        <f>DATE(YEAR(RawSalesTable5[[#This Row],[Order_Date]]),MONTH(RawSalesTable5[[#This Row],[Order_Date]]),1)</f>
        <v>45870</v>
      </c>
      <c r="AA185" t="str" cm="1">
        <f t="array" ref="AA185">IF(RawSalesTable5[[#This Row],[Lookup_Status]]="Missing Product","",_xlfn.IFS(RawSalesTable5[[#This Row],[Net_Revenue]]&gt;=20000,"High",RawSalesTable5[[#This Row],[Net_Revenue]]&gt;=10000,"Medium",TRUE,"Low"))</f>
        <v>Low</v>
      </c>
    </row>
    <row r="186" spans="1:27">
      <c r="A186" t="s">
        <v>318</v>
      </c>
      <c r="B186" s="15">
        <v>45784</v>
      </c>
      <c r="C186" s="15">
        <v>45786</v>
      </c>
      <c r="D186" t="s">
        <v>123</v>
      </c>
      <c r="E186" t="s">
        <v>106</v>
      </c>
      <c r="F186" t="s">
        <v>115</v>
      </c>
      <c r="G186" t="s">
        <v>86</v>
      </c>
      <c r="H186" t="s">
        <v>86</v>
      </c>
      <c r="I186" s="17">
        <v>5</v>
      </c>
      <c r="J186" s="16">
        <v>0</v>
      </c>
      <c r="K186" t="s">
        <v>119</v>
      </c>
      <c r="L186" t="s">
        <v>89</v>
      </c>
      <c r="M186" s="17">
        <v>5</v>
      </c>
      <c r="N186" t="str" cm="1">
        <f t="array" ref="N186">_xlfn.XLOOKUP(RawSalesTable5[[#This Row],[Product_Code]],ProductLookupTable[[#All],[Product_Code]],ProductLookupTable[[#All],[Product_Name]],"NOT FOUND")</f>
        <v>USB-C Hub</v>
      </c>
      <c r="O186" t="str" cm="1">
        <f t="array" ref="O186">_xlfn.XLOOKUP(RawSalesTable5[[#This Row],[Product_Code]],ProductLookupTable[[#All],[Product_Code]],ProductLookupTable[[#All],[Category]],"NOT FOUND")</f>
        <v>Accessories</v>
      </c>
      <c r="P186" cm="1">
        <f t="array" ref="P186">_xlfn.XLOOKUP(RawSalesTable5[[#This Row],[Product_Code]],ProductLookupTable[[#All],[Product_Code]],ProductLookupTable[[#All],[Unit_Price]],"NOT FOUND")</f>
        <v>1599</v>
      </c>
      <c r="Q186" t="str">
        <f>IF(COUNTIF(ProductLookupTable[Product_Code],RawSalesTable5[[#This Row],[Product_Code]])=0,"Missing Product","OK")</f>
        <v>OK</v>
      </c>
      <c r="R186" cm="1">
        <f t="array" ref="R186">_xlfn.XLOOKUP(RawSalesTable5[[#This Row],[Product_Code]],ProductLookupTable[[#All],[Product_Code]],ProductLookupTable[[#All],[Unit_Cost]],"NOT FOUND")</f>
        <v>870</v>
      </c>
      <c r="S186">
        <f>IFERROR(RawSalesTable5[[#This Row],[Quantity]]*RawSalesTable5[[#This Row],[Unit_Price]],"NOT FOUND")</f>
        <v>7995</v>
      </c>
      <c r="T186">
        <f>IFERROR(RawSalesTable5[[#This Row],[Gross_Revenue]]*RawSalesTable5[[#This Row],[Discount_Pct]],"NOT FOUND")</f>
        <v>0</v>
      </c>
      <c r="U186">
        <f>IFERROR(RawSalesTable5[[#This Row],[Gross_Revenue]]-RawSalesTable5[[#This Row],[Discount_Value]],"NOT FOUND")</f>
        <v>7995</v>
      </c>
      <c r="V186">
        <f>IFERROR(RawSalesTable5[[#This Row],[Quantity]]*RawSalesTable5[[#This Row],[Unit_Cost]],"NOT FOUND")</f>
        <v>4350</v>
      </c>
      <c r="W186">
        <f>IFERROR(RawSalesTable5[[#This Row],[Net_Revenue]]-RawSalesTable5[[#This Row],[Cost]],"NOT FOUND")</f>
        <v>3645</v>
      </c>
      <c r="X186" s="27">
        <f>IF(RawSalesTable5[[#This Row],[Lookup_Status]]="Missing Product","",IFERROR(RawSalesTable5[[#This Row],[Profit]]/RawSalesTable5[[#This Row],[Net_Revenue]],0))</f>
        <v>0.45590994371482174</v>
      </c>
      <c r="Y186">
        <f>RawSalesTable5[[#This Row],[Ship_Date]]-RawSalesTable5[[#This Row],[Order_Date]]</f>
        <v>2</v>
      </c>
      <c r="Z186" s="28">
        <f>DATE(YEAR(RawSalesTable5[[#This Row],[Order_Date]]),MONTH(RawSalesTable5[[#This Row],[Order_Date]]),1)</f>
        <v>45778</v>
      </c>
      <c r="AA186" t="str" cm="1">
        <f t="array" ref="AA186">IF(RawSalesTable5[[#This Row],[Lookup_Status]]="Missing Product","",_xlfn.IFS(RawSalesTable5[[#This Row],[Net_Revenue]]&gt;=20000,"High",RawSalesTable5[[#This Row],[Net_Revenue]]&gt;=10000,"Medium",TRUE,"Low"))</f>
        <v>Low</v>
      </c>
    </row>
    <row r="187" spans="1:27">
      <c r="A187" t="s">
        <v>319</v>
      </c>
      <c r="B187" s="15">
        <v>45833</v>
      </c>
      <c r="C187" s="15">
        <v>45834</v>
      </c>
      <c r="D187" t="s">
        <v>83</v>
      </c>
      <c r="E187" t="s">
        <v>111</v>
      </c>
      <c r="F187" t="s">
        <v>107</v>
      </c>
      <c r="G187" t="s">
        <v>108</v>
      </c>
      <c r="H187" t="s">
        <v>103</v>
      </c>
      <c r="I187" s="17">
        <v>3</v>
      </c>
      <c r="J187" s="16">
        <v>0.15</v>
      </c>
      <c r="K187" t="s">
        <v>119</v>
      </c>
      <c r="L187" t="s">
        <v>89</v>
      </c>
      <c r="M187" s="17">
        <v>4</v>
      </c>
      <c r="N187" t="str" cm="1">
        <f t="array" ref="N187">_xlfn.XLOOKUP(RawSalesTable5[[#This Row],[Product_Code]],ProductLookupTable[[#All],[Product_Code]],ProductLookupTable[[#All],[Product_Name]],"NOT FOUND")</f>
        <v>Bluetooth Speaker</v>
      </c>
      <c r="O187" t="str" cm="1">
        <f t="array" ref="O187">_xlfn.XLOOKUP(RawSalesTable5[[#This Row],[Product_Code]],ProductLookupTable[[#All],[Product_Code]],ProductLookupTable[[#All],[Category]],"NOT FOUND")</f>
        <v>Audio</v>
      </c>
      <c r="P187" cm="1">
        <f t="array" ref="P187">_xlfn.XLOOKUP(RawSalesTable5[[#This Row],[Product_Code]],ProductLookupTable[[#All],[Product_Code]],ProductLookupTable[[#All],[Unit_Price]],"NOT FOUND")</f>
        <v>2799</v>
      </c>
      <c r="Q187" t="str">
        <f>IF(COUNTIF(ProductLookupTable[Product_Code],RawSalesTable5[[#This Row],[Product_Code]])=0,"Missing Product","OK")</f>
        <v>OK</v>
      </c>
      <c r="R187" cm="1">
        <f t="array" ref="R187">_xlfn.XLOOKUP(RawSalesTable5[[#This Row],[Product_Code]],ProductLookupTable[[#All],[Product_Code]],ProductLookupTable[[#All],[Unit_Cost]],"NOT FOUND")</f>
        <v>1650</v>
      </c>
      <c r="S187">
        <f>IFERROR(RawSalesTable5[[#This Row],[Quantity]]*RawSalesTable5[[#This Row],[Unit_Price]],"NOT FOUND")</f>
        <v>8397</v>
      </c>
      <c r="T187">
        <f>IFERROR(RawSalesTable5[[#This Row],[Gross_Revenue]]*RawSalesTable5[[#This Row],[Discount_Pct]],"NOT FOUND")</f>
        <v>1259.55</v>
      </c>
      <c r="U187">
        <f>IFERROR(RawSalesTable5[[#This Row],[Gross_Revenue]]-RawSalesTable5[[#This Row],[Discount_Value]],"NOT FOUND")</f>
        <v>7137.45</v>
      </c>
      <c r="V187">
        <f>IFERROR(RawSalesTable5[[#This Row],[Quantity]]*RawSalesTable5[[#This Row],[Unit_Cost]],"NOT FOUND")</f>
        <v>4950</v>
      </c>
      <c r="W187">
        <f>IFERROR(RawSalesTable5[[#This Row],[Net_Revenue]]-RawSalesTable5[[#This Row],[Cost]],"NOT FOUND")</f>
        <v>2187.4499999999998</v>
      </c>
      <c r="X187" s="27">
        <f>IF(RawSalesTable5[[#This Row],[Lookup_Status]]="Missing Product","",IFERROR(RawSalesTable5[[#This Row],[Profit]]/RawSalesTable5[[#This Row],[Net_Revenue]],0))</f>
        <v>0.30647500157619317</v>
      </c>
      <c r="Y187">
        <f>RawSalesTable5[[#This Row],[Ship_Date]]-RawSalesTable5[[#This Row],[Order_Date]]</f>
        <v>1</v>
      </c>
      <c r="Z187" s="28">
        <f>DATE(YEAR(RawSalesTable5[[#This Row],[Order_Date]]),MONTH(RawSalesTable5[[#This Row],[Order_Date]]),1)</f>
        <v>45809</v>
      </c>
      <c r="AA187" t="str" cm="1">
        <f t="array" ref="AA187">IF(RawSalesTable5[[#This Row],[Lookup_Status]]="Missing Product","",_xlfn.IFS(RawSalesTable5[[#This Row],[Net_Revenue]]&gt;=20000,"High",RawSalesTable5[[#This Row],[Net_Revenue]]&gt;=10000,"Medium",TRUE,"Low"))</f>
        <v>Low</v>
      </c>
    </row>
    <row r="188" spans="1:27">
      <c r="A188" t="s">
        <v>320</v>
      </c>
      <c r="B188" s="15">
        <v>45795</v>
      </c>
      <c r="C188" s="15">
        <v>45801</v>
      </c>
      <c r="D188" t="s">
        <v>114</v>
      </c>
      <c r="E188" t="s">
        <v>84</v>
      </c>
      <c r="F188" t="s">
        <v>121</v>
      </c>
      <c r="G188" t="s">
        <v>86</v>
      </c>
      <c r="H188" t="s">
        <v>87</v>
      </c>
      <c r="I188" s="17">
        <v>5</v>
      </c>
      <c r="J188" s="16">
        <v>0</v>
      </c>
      <c r="K188" t="s">
        <v>88</v>
      </c>
      <c r="L188" t="s">
        <v>89</v>
      </c>
      <c r="M188" s="17">
        <v>5</v>
      </c>
      <c r="N188" t="str" cm="1">
        <f t="array" ref="N188">_xlfn.XLOOKUP(RawSalesTable5[[#This Row],[Product_Code]],ProductLookupTable[[#All],[Product_Code]],ProductLookupTable[[#All],[Product_Name]],"NOT FOUND")</f>
        <v>HD Webcam</v>
      </c>
      <c r="O188" t="str" cm="1">
        <f t="array" ref="O188">_xlfn.XLOOKUP(RawSalesTable5[[#This Row],[Product_Code]],ProductLookupTable[[#All],[Product_Code]],ProductLookupTable[[#All],[Category]],"NOT FOUND")</f>
        <v>Accessories</v>
      </c>
      <c r="P188" cm="1">
        <f t="array" ref="P188">_xlfn.XLOOKUP(RawSalesTable5[[#This Row],[Product_Code]],ProductLookupTable[[#All],[Product_Code]],ProductLookupTable[[#All],[Unit_Price]],"NOT FOUND")</f>
        <v>2899</v>
      </c>
      <c r="Q188" t="str">
        <f>IF(COUNTIF(ProductLookupTable[Product_Code],RawSalesTable5[[#This Row],[Product_Code]])=0,"Missing Product","OK")</f>
        <v>OK</v>
      </c>
      <c r="R188" cm="1">
        <f t="array" ref="R188">_xlfn.XLOOKUP(RawSalesTable5[[#This Row],[Product_Code]],ProductLookupTable[[#All],[Product_Code]],ProductLookupTable[[#All],[Unit_Cost]],"NOT FOUND")</f>
        <v>1700</v>
      </c>
      <c r="S188">
        <f>IFERROR(RawSalesTable5[[#This Row],[Quantity]]*RawSalesTable5[[#This Row],[Unit_Price]],"NOT FOUND")</f>
        <v>14495</v>
      </c>
      <c r="T188">
        <f>IFERROR(RawSalesTable5[[#This Row],[Gross_Revenue]]*RawSalesTable5[[#This Row],[Discount_Pct]],"NOT FOUND")</f>
        <v>0</v>
      </c>
      <c r="U188">
        <f>IFERROR(RawSalesTable5[[#This Row],[Gross_Revenue]]-RawSalesTable5[[#This Row],[Discount_Value]],"NOT FOUND")</f>
        <v>14495</v>
      </c>
      <c r="V188">
        <f>IFERROR(RawSalesTable5[[#This Row],[Quantity]]*RawSalesTable5[[#This Row],[Unit_Cost]],"NOT FOUND")</f>
        <v>8500</v>
      </c>
      <c r="W188">
        <f>IFERROR(RawSalesTable5[[#This Row],[Net_Revenue]]-RawSalesTable5[[#This Row],[Cost]],"NOT FOUND")</f>
        <v>5995</v>
      </c>
      <c r="X188" s="27">
        <f>IF(RawSalesTable5[[#This Row],[Lookup_Status]]="Missing Product","",IFERROR(RawSalesTable5[[#This Row],[Profit]]/RawSalesTable5[[#This Row],[Net_Revenue]],0))</f>
        <v>0.41359089341152122</v>
      </c>
      <c r="Y188">
        <f>RawSalesTable5[[#This Row],[Ship_Date]]-RawSalesTable5[[#This Row],[Order_Date]]</f>
        <v>6</v>
      </c>
      <c r="Z188" s="28">
        <f>DATE(YEAR(RawSalesTable5[[#This Row],[Order_Date]]),MONTH(RawSalesTable5[[#This Row],[Order_Date]]),1)</f>
        <v>45778</v>
      </c>
      <c r="AA188" t="str" cm="1">
        <f t="array" ref="AA188">IF(RawSalesTable5[[#This Row],[Lookup_Status]]="Missing Product","",_xlfn.IFS(RawSalesTable5[[#This Row],[Net_Revenue]]&gt;=20000,"High",RawSalesTable5[[#This Row],[Net_Revenue]]&gt;=10000,"Medium",TRUE,"Low"))</f>
        <v>Medium</v>
      </c>
    </row>
    <row r="189" spans="1:27">
      <c r="A189" t="s">
        <v>321</v>
      </c>
      <c r="B189" s="15">
        <v>45683</v>
      </c>
      <c r="C189" s="15">
        <v>45688</v>
      </c>
      <c r="D189" t="s">
        <v>157</v>
      </c>
      <c r="E189" t="s">
        <v>92</v>
      </c>
      <c r="F189" t="s">
        <v>124</v>
      </c>
      <c r="G189" t="s">
        <v>125</v>
      </c>
      <c r="H189" t="s">
        <v>103</v>
      </c>
      <c r="I189" s="17">
        <v>2</v>
      </c>
      <c r="J189" s="16">
        <v>0.2</v>
      </c>
      <c r="K189" t="s">
        <v>112</v>
      </c>
      <c r="L189" t="s">
        <v>89</v>
      </c>
      <c r="M189" s="17">
        <v>4</v>
      </c>
      <c r="N189" t="str" cm="1">
        <f t="array" ref="N189">_xlfn.XLOOKUP(RawSalesTable5[[#This Row],[Product_Code]],ProductLookupTable[[#All],[Product_Code]],ProductLookupTable[[#All],[Product_Name]],"NOT FOUND")</f>
        <v>Wireless Mouse</v>
      </c>
      <c r="O189" t="str" cm="1">
        <f t="array" ref="O189">_xlfn.XLOOKUP(RawSalesTable5[[#This Row],[Product_Code]],ProductLookupTable[[#All],[Product_Code]],ProductLookupTable[[#All],[Category]],"NOT FOUND")</f>
        <v>Accessories</v>
      </c>
      <c r="P189" cm="1">
        <f t="array" ref="P189">_xlfn.XLOOKUP(RawSalesTable5[[#This Row],[Product_Code]],ProductLookupTable[[#All],[Product_Code]],ProductLookupTable[[#All],[Unit_Price]],"NOT FOUND")</f>
        <v>799</v>
      </c>
      <c r="Q189" t="str">
        <f>IF(COUNTIF(ProductLookupTable[Product_Code],RawSalesTable5[[#This Row],[Product_Code]])=0,"Missing Product","OK")</f>
        <v>OK</v>
      </c>
      <c r="R189" cm="1">
        <f t="array" ref="R189">_xlfn.XLOOKUP(RawSalesTable5[[#This Row],[Product_Code]],ProductLookupTable[[#All],[Product_Code]],ProductLookupTable[[#All],[Unit_Cost]],"NOT FOUND")</f>
        <v>420</v>
      </c>
      <c r="S189">
        <f>IFERROR(RawSalesTable5[[#This Row],[Quantity]]*RawSalesTable5[[#This Row],[Unit_Price]],"NOT FOUND")</f>
        <v>1598</v>
      </c>
      <c r="T189">
        <f>IFERROR(RawSalesTable5[[#This Row],[Gross_Revenue]]*RawSalesTable5[[#This Row],[Discount_Pct]],"NOT FOUND")</f>
        <v>319.60000000000002</v>
      </c>
      <c r="U189">
        <f>IFERROR(RawSalesTable5[[#This Row],[Gross_Revenue]]-RawSalesTable5[[#This Row],[Discount_Value]],"NOT FOUND")</f>
        <v>1278.4000000000001</v>
      </c>
      <c r="V189">
        <f>IFERROR(RawSalesTable5[[#This Row],[Quantity]]*RawSalesTable5[[#This Row],[Unit_Cost]],"NOT FOUND")</f>
        <v>840</v>
      </c>
      <c r="W189">
        <f>IFERROR(RawSalesTable5[[#This Row],[Net_Revenue]]-RawSalesTable5[[#This Row],[Cost]],"NOT FOUND")</f>
        <v>438.40000000000009</v>
      </c>
      <c r="X189" s="27">
        <f>IF(RawSalesTable5[[#This Row],[Lookup_Status]]="Missing Product","",IFERROR(RawSalesTable5[[#This Row],[Profit]]/RawSalesTable5[[#This Row],[Net_Revenue]],0))</f>
        <v>0.34292866082603257</v>
      </c>
      <c r="Y189">
        <f>RawSalesTable5[[#This Row],[Ship_Date]]-RawSalesTable5[[#This Row],[Order_Date]]</f>
        <v>5</v>
      </c>
      <c r="Z189" s="28">
        <f>DATE(YEAR(RawSalesTable5[[#This Row],[Order_Date]]),MONTH(RawSalesTable5[[#This Row],[Order_Date]]),1)</f>
        <v>45658</v>
      </c>
      <c r="AA189" t="str" cm="1">
        <f t="array" ref="AA189">IF(RawSalesTable5[[#This Row],[Lookup_Status]]="Missing Product","",_xlfn.IFS(RawSalesTable5[[#This Row],[Net_Revenue]]&gt;=20000,"High",RawSalesTable5[[#This Row],[Net_Revenue]]&gt;=10000,"Medium",TRUE,"Low"))</f>
        <v>Low</v>
      </c>
    </row>
    <row r="190" spans="1:27">
      <c r="A190" t="s">
        <v>322</v>
      </c>
      <c r="B190" s="15">
        <v>45895</v>
      </c>
      <c r="C190" s="15">
        <v>45902</v>
      </c>
      <c r="D190" t="s">
        <v>531</v>
      </c>
      <c r="E190" t="s">
        <v>98</v>
      </c>
      <c r="F190" t="s">
        <v>149</v>
      </c>
      <c r="G190" t="s">
        <v>108</v>
      </c>
      <c r="H190" t="s">
        <v>103</v>
      </c>
      <c r="I190" s="17">
        <v>2</v>
      </c>
      <c r="J190" s="16">
        <v>0.1</v>
      </c>
      <c r="K190" t="s">
        <v>140</v>
      </c>
      <c r="L190" t="s">
        <v>89</v>
      </c>
      <c r="M190" s="17">
        <v>4</v>
      </c>
      <c r="N190" t="str" cm="1">
        <f t="array" ref="N190">_xlfn.XLOOKUP(RawSalesTable5[[#This Row],[Product_Code]],ProductLookupTable[[#All],[Product_Code]],ProductLookupTable[[#All],[Product_Name]],"NOT FOUND")</f>
        <v>Portable HDD 2TB</v>
      </c>
      <c r="O190" t="str" cm="1">
        <f t="array" ref="O190">_xlfn.XLOOKUP(RawSalesTable5[[#This Row],[Product_Code]],ProductLookupTable[[#All],[Product_Code]],ProductLookupTable[[#All],[Category]],"NOT FOUND")</f>
        <v>Storage</v>
      </c>
      <c r="P190" cm="1">
        <f t="array" ref="P190">_xlfn.XLOOKUP(RawSalesTable5[[#This Row],[Product_Code]],ProductLookupTable[[#All],[Product_Code]],ProductLookupTable[[#All],[Unit_Price]],"NOT FOUND")</f>
        <v>5899</v>
      </c>
      <c r="Q190" t="str">
        <f>IF(COUNTIF(ProductLookupTable[Product_Code],RawSalesTable5[[#This Row],[Product_Code]])=0,"Missing Product","OK")</f>
        <v>OK</v>
      </c>
      <c r="R190" cm="1">
        <f t="array" ref="R190">_xlfn.XLOOKUP(RawSalesTable5[[#This Row],[Product_Code]],ProductLookupTable[[#All],[Product_Code]],ProductLookupTable[[#All],[Unit_Cost]],"NOT FOUND")</f>
        <v>4100</v>
      </c>
      <c r="S190">
        <f>IFERROR(RawSalesTable5[[#This Row],[Quantity]]*RawSalesTable5[[#This Row],[Unit_Price]],"NOT FOUND")</f>
        <v>11798</v>
      </c>
      <c r="T190">
        <f>IFERROR(RawSalesTable5[[#This Row],[Gross_Revenue]]*RawSalesTable5[[#This Row],[Discount_Pct]],"NOT FOUND")</f>
        <v>1179.8</v>
      </c>
      <c r="U190">
        <f>IFERROR(RawSalesTable5[[#This Row],[Gross_Revenue]]-RawSalesTable5[[#This Row],[Discount_Value]],"NOT FOUND")</f>
        <v>10618.2</v>
      </c>
      <c r="V190">
        <f>IFERROR(RawSalesTable5[[#This Row],[Quantity]]*RawSalesTable5[[#This Row],[Unit_Cost]],"NOT FOUND")</f>
        <v>8200</v>
      </c>
      <c r="W190">
        <f>IFERROR(RawSalesTable5[[#This Row],[Net_Revenue]]-RawSalesTable5[[#This Row],[Cost]],"NOT FOUND")</f>
        <v>2418.2000000000007</v>
      </c>
      <c r="X190" s="27">
        <f>IF(RawSalesTable5[[#This Row],[Lookup_Status]]="Missing Product","",IFERROR(RawSalesTable5[[#This Row],[Profit]]/RawSalesTable5[[#This Row],[Net_Revenue]],0))</f>
        <v>0.22774104838861584</v>
      </c>
      <c r="Y190">
        <f>RawSalesTable5[[#This Row],[Ship_Date]]-RawSalesTable5[[#This Row],[Order_Date]]</f>
        <v>7</v>
      </c>
      <c r="Z190" s="28">
        <f>DATE(YEAR(RawSalesTable5[[#This Row],[Order_Date]]),MONTH(RawSalesTable5[[#This Row],[Order_Date]]),1)</f>
        <v>45870</v>
      </c>
      <c r="AA190" t="str" cm="1">
        <f t="array" ref="AA190">IF(RawSalesTable5[[#This Row],[Lookup_Status]]="Missing Product","",_xlfn.IFS(RawSalesTable5[[#This Row],[Net_Revenue]]&gt;=20000,"High",RawSalesTable5[[#This Row],[Net_Revenue]]&gt;=10000,"Medium",TRUE,"Low"))</f>
        <v>Medium</v>
      </c>
    </row>
    <row r="191" spans="1:27">
      <c r="A191" t="s">
        <v>323</v>
      </c>
      <c r="B191" s="15">
        <v>45694</v>
      </c>
      <c r="C191" s="15">
        <v>45696</v>
      </c>
      <c r="D191" t="s">
        <v>123</v>
      </c>
      <c r="E191" t="s">
        <v>101</v>
      </c>
      <c r="F191" t="s">
        <v>121</v>
      </c>
      <c r="G191" t="s">
        <v>125</v>
      </c>
      <c r="H191" t="s">
        <v>86</v>
      </c>
      <c r="I191" s="17">
        <v>2</v>
      </c>
      <c r="J191" s="16">
        <v>0</v>
      </c>
      <c r="K191" t="s">
        <v>112</v>
      </c>
      <c r="L191" t="s">
        <v>89</v>
      </c>
      <c r="M191" s="17">
        <v>3</v>
      </c>
      <c r="N191" t="str" cm="1">
        <f t="array" ref="N191">_xlfn.XLOOKUP(RawSalesTable5[[#This Row],[Product_Code]],ProductLookupTable[[#All],[Product_Code]],ProductLookupTable[[#All],[Product_Name]],"NOT FOUND")</f>
        <v>HD Webcam</v>
      </c>
      <c r="O191" t="str" cm="1">
        <f t="array" ref="O191">_xlfn.XLOOKUP(RawSalesTable5[[#This Row],[Product_Code]],ProductLookupTable[[#All],[Product_Code]],ProductLookupTable[[#All],[Category]],"NOT FOUND")</f>
        <v>Accessories</v>
      </c>
      <c r="P191" cm="1">
        <f t="array" ref="P191">_xlfn.XLOOKUP(RawSalesTable5[[#This Row],[Product_Code]],ProductLookupTable[[#All],[Product_Code]],ProductLookupTable[[#All],[Unit_Price]],"NOT FOUND")</f>
        <v>2899</v>
      </c>
      <c r="Q191" t="str">
        <f>IF(COUNTIF(ProductLookupTable[Product_Code],RawSalesTable5[[#This Row],[Product_Code]])=0,"Missing Product","OK")</f>
        <v>OK</v>
      </c>
      <c r="R191" cm="1">
        <f t="array" ref="R191">_xlfn.XLOOKUP(RawSalesTable5[[#This Row],[Product_Code]],ProductLookupTable[[#All],[Product_Code]],ProductLookupTable[[#All],[Unit_Cost]],"NOT FOUND")</f>
        <v>1700</v>
      </c>
      <c r="S191">
        <f>IFERROR(RawSalesTable5[[#This Row],[Quantity]]*RawSalesTable5[[#This Row],[Unit_Price]],"NOT FOUND")</f>
        <v>5798</v>
      </c>
      <c r="T191">
        <f>IFERROR(RawSalesTable5[[#This Row],[Gross_Revenue]]*RawSalesTable5[[#This Row],[Discount_Pct]],"NOT FOUND")</f>
        <v>0</v>
      </c>
      <c r="U191">
        <f>IFERROR(RawSalesTable5[[#This Row],[Gross_Revenue]]-RawSalesTable5[[#This Row],[Discount_Value]],"NOT FOUND")</f>
        <v>5798</v>
      </c>
      <c r="V191">
        <f>IFERROR(RawSalesTable5[[#This Row],[Quantity]]*RawSalesTable5[[#This Row],[Unit_Cost]],"NOT FOUND")</f>
        <v>3400</v>
      </c>
      <c r="W191">
        <f>IFERROR(RawSalesTable5[[#This Row],[Net_Revenue]]-RawSalesTable5[[#This Row],[Cost]],"NOT FOUND")</f>
        <v>2398</v>
      </c>
      <c r="X191" s="27">
        <f>IF(RawSalesTable5[[#This Row],[Lookup_Status]]="Missing Product","",IFERROR(RawSalesTable5[[#This Row],[Profit]]/RawSalesTable5[[#This Row],[Net_Revenue]],0))</f>
        <v>0.41359089341152122</v>
      </c>
      <c r="Y191">
        <f>RawSalesTable5[[#This Row],[Ship_Date]]-RawSalesTable5[[#This Row],[Order_Date]]</f>
        <v>2</v>
      </c>
      <c r="Z191" s="28">
        <f>DATE(YEAR(RawSalesTable5[[#This Row],[Order_Date]]),MONTH(RawSalesTable5[[#This Row],[Order_Date]]),1)</f>
        <v>45689</v>
      </c>
      <c r="AA191" t="str" cm="1">
        <f t="array" ref="AA191">IF(RawSalesTable5[[#This Row],[Lookup_Status]]="Missing Product","",_xlfn.IFS(RawSalesTable5[[#This Row],[Net_Revenue]]&gt;=20000,"High",RawSalesTable5[[#This Row],[Net_Revenue]]&gt;=10000,"Medium",TRUE,"Low"))</f>
        <v>Low</v>
      </c>
    </row>
    <row r="192" spans="1:27">
      <c r="A192" t="s">
        <v>324</v>
      </c>
      <c r="B192" s="15">
        <v>45733</v>
      </c>
      <c r="C192" s="15">
        <v>45736</v>
      </c>
      <c r="D192" t="s">
        <v>83</v>
      </c>
      <c r="E192" t="s">
        <v>106</v>
      </c>
      <c r="F192" t="s">
        <v>154</v>
      </c>
      <c r="G192" t="s">
        <v>86</v>
      </c>
      <c r="H192" t="s">
        <v>103</v>
      </c>
      <c r="I192" s="17">
        <v>2</v>
      </c>
      <c r="J192" s="16">
        <v>0</v>
      </c>
      <c r="K192" t="s">
        <v>140</v>
      </c>
      <c r="L192" t="s">
        <v>89</v>
      </c>
      <c r="M192" s="17">
        <v>3</v>
      </c>
      <c r="N192" t="str" cm="1">
        <f t="array" ref="N192">_xlfn.XLOOKUP(RawSalesTable5[[#This Row],[Product_Code]],ProductLookupTable[[#All],[Product_Code]],ProductLookupTable[[#All],[Product_Name]],"NOT FOUND")</f>
        <v>Laptop Stand</v>
      </c>
      <c r="O192" t="str" cm="1">
        <f t="array" ref="O192">_xlfn.XLOOKUP(RawSalesTable5[[#This Row],[Product_Code]],ProductLookupTable[[#All],[Product_Code]],ProductLookupTable[[#All],[Category]],"NOT FOUND")</f>
        <v>Accessories</v>
      </c>
      <c r="P192" cm="1">
        <f t="array" ref="P192">_xlfn.XLOOKUP(RawSalesTable5[[#This Row],[Product_Code]],ProductLookupTable[[#All],[Product_Code]],ProductLookupTable[[#All],[Unit_Price]],"NOT FOUND")</f>
        <v>1899</v>
      </c>
      <c r="Q192" t="str">
        <f>IF(COUNTIF(ProductLookupTable[Product_Code],RawSalesTable5[[#This Row],[Product_Code]])=0,"Missing Product","OK")</f>
        <v>OK</v>
      </c>
      <c r="R192" cm="1">
        <f t="array" ref="R192">_xlfn.XLOOKUP(RawSalesTable5[[#This Row],[Product_Code]],ProductLookupTable[[#All],[Product_Code]],ProductLookupTable[[#All],[Unit_Cost]],"NOT FOUND")</f>
        <v>980</v>
      </c>
      <c r="S192">
        <f>IFERROR(RawSalesTable5[[#This Row],[Quantity]]*RawSalesTable5[[#This Row],[Unit_Price]],"NOT FOUND")</f>
        <v>3798</v>
      </c>
      <c r="T192">
        <f>IFERROR(RawSalesTable5[[#This Row],[Gross_Revenue]]*RawSalesTable5[[#This Row],[Discount_Pct]],"NOT FOUND")</f>
        <v>0</v>
      </c>
      <c r="U192">
        <f>IFERROR(RawSalesTable5[[#This Row],[Gross_Revenue]]-RawSalesTable5[[#This Row],[Discount_Value]],"NOT FOUND")</f>
        <v>3798</v>
      </c>
      <c r="V192">
        <f>IFERROR(RawSalesTable5[[#This Row],[Quantity]]*RawSalesTable5[[#This Row],[Unit_Cost]],"NOT FOUND")</f>
        <v>1960</v>
      </c>
      <c r="W192">
        <f>IFERROR(RawSalesTable5[[#This Row],[Net_Revenue]]-RawSalesTable5[[#This Row],[Cost]],"NOT FOUND")</f>
        <v>1838</v>
      </c>
      <c r="X192" s="27">
        <f>IF(RawSalesTable5[[#This Row],[Lookup_Status]]="Missing Product","",IFERROR(RawSalesTable5[[#This Row],[Profit]]/RawSalesTable5[[#This Row],[Net_Revenue]],0))</f>
        <v>0.48393891521853605</v>
      </c>
      <c r="Y192">
        <f>RawSalesTable5[[#This Row],[Ship_Date]]-RawSalesTable5[[#This Row],[Order_Date]]</f>
        <v>3</v>
      </c>
      <c r="Z192" s="28">
        <f>DATE(YEAR(RawSalesTable5[[#This Row],[Order_Date]]),MONTH(RawSalesTable5[[#This Row],[Order_Date]]),1)</f>
        <v>45717</v>
      </c>
      <c r="AA192" t="str" cm="1">
        <f t="array" ref="AA192">IF(RawSalesTable5[[#This Row],[Lookup_Status]]="Missing Product","",_xlfn.IFS(RawSalesTable5[[#This Row],[Net_Revenue]]&gt;=20000,"High",RawSalesTable5[[#This Row],[Net_Revenue]]&gt;=10000,"Medium",TRUE,"Low"))</f>
        <v>Low</v>
      </c>
    </row>
    <row r="193" spans="1:27">
      <c r="A193" t="s">
        <v>325</v>
      </c>
      <c r="B193" s="15">
        <v>45733</v>
      </c>
      <c r="C193" s="15">
        <v>45736</v>
      </c>
      <c r="D193" t="s">
        <v>114</v>
      </c>
      <c r="E193" t="s">
        <v>111</v>
      </c>
      <c r="F193" t="s">
        <v>93</v>
      </c>
      <c r="G193" t="s">
        <v>125</v>
      </c>
      <c r="H193" t="s">
        <v>103</v>
      </c>
      <c r="I193" s="17">
        <v>4</v>
      </c>
      <c r="J193" s="16">
        <v>0.2</v>
      </c>
      <c r="K193" t="s">
        <v>119</v>
      </c>
      <c r="L193" t="s">
        <v>126</v>
      </c>
      <c r="M193" s="17">
        <v>2</v>
      </c>
      <c r="N193" t="str" cm="1">
        <f t="array" ref="N193">_xlfn.XLOOKUP(RawSalesTable5[[#This Row],[Product_Code]],ProductLookupTable[[#All],[Product_Code]],ProductLookupTable[[#All],[Product_Name]],"NOT FOUND")</f>
        <v>Wireless Headset</v>
      </c>
      <c r="O193" t="str" cm="1">
        <f t="array" ref="O193">_xlfn.XLOOKUP(RawSalesTable5[[#This Row],[Product_Code]],ProductLookupTable[[#All],[Product_Code]],ProductLookupTable[[#All],[Category]],"NOT FOUND")</f>
        <v>Audio</v>
      </c>
      <c r="P193" cm="1">
        <f t="array" ref="P193">_xlfn.XLOOKUP(RawSalesTable5[[#This Row],[Product_Code]],ProductLookupTable[[#All],[Product_Code]],ProductLookupTable[[#All],[Unit_Price]],"NOT FOUND")</f>
        <v>3499</v>
      </c>
      <c r="Q193" t="str">
        <f>IF(COUNTIF(ProductLookupTable[Product_Code],RawSalesTable5[[#This Row],[Product_Code]])=0,"Missing Product","OK")</f>
        <v>OK</v>
      </c>
      <c r="R193" cm="1">
        <f t="array" ref="R193">_xlfn.XLOOKUP(RawSalesTable5[[#This Row],[Product_Code]],ProductLookupTable[[#All],[Product_Code]],ProductLookupTable[[#All],[Unit_Cost]],"NOT FOUND")</f>
        <v>2100</v>
      </c>
      <c r="S193">
        <f>IFERROR(RawSalesTable5[[#This Row],[Quantity]]*RawSalesTable5[[#This Row],[Unit_Price]],"NOT FOUND")</f>
        <v>13996</v>
      </c>
      <c r="T193">
        <f>IFERROR(RawSalesTable5[[#This Row],[Gross_Revenue]]*RawSalesTable5[[#This Row],[Discount_Pct]],"NOT FOUND")</f>
        <v>2799.2000000000003</v>
      </c>
      <c r="U193">
        <f>IFERROR(RawSalesTable5[[#This Row],[Gross_Revenue]]-RawSalesTable5[[#This Row],[Discount_Value]],"NOT FOUND")</f>
        <v>11196.8</v>
      </c>
      <c r="V193">
        <f>IFERROR(RawSalesTable5[[#This Row],[Quantity]]*RawSalesTable5[[#This Row],[Unit_Cost]],"NOT FOUND")</f>
        <v>8400</v>
      </c>
      <c r="W193">
        <f>IFERROR(RawSalesTable5[[#This Row],[Net_Revenue]]-RawSalesTable5[[#This Row],[Cost]],"NOT FOUND")</f>
        <v>2796.7999999999993</v>
      </c>
      <c r="X193" s="27">
        <f>IF(RawSalesTable5[[#This Row],[Lookup_Status]]="Missing Product","",IFERROR(RawSalesTable5[[#This Row],[Profit]]/RawSalesTable5[[#This Row],[Net_Revenue]],0))</f>
        <v>0.24978565304372674</v>
      </c>
      <c r="Y193">
        <f>RawSalesTable5[[#This Row],[Ship_Date]]-RawSalesTable5[[#This Row],[Order_Date]]</f>
        <v>3</v>
      </c>
      <c r="Z193" s="28">
        <f>DATE(YEAR(RawSalesTable5[[#This Row],[Order_Date]]),MONTH(RawSalesTable5[[#This Row],[Order_Date]]),1)</f>
        <v>45717</v>
      </c>
      <c r="AA193" t="str" cm="1">
        <f t="array" ref="AA193">IF(RawSalesTable5[[#This Row],[Lookup_Status]]="Missing Product","",_xlfn.IFS(RawSalesTable5[[#This Row],[Net_Revenue]]&gt;=20000,"High",RawSalesTable5[[#This Row],[Net_Revenue]]&gt;=10000,"Medium",TRUE,"Low"))</f>
        <v>Medium</v>
      </c>
    </row>
    <row r="194" spans="1:27">
      <c r="A194" t="s">
        <v>326</v>
      </c>
      <c r="B194" s="15">
        <v>45957</v>
      </c>
      <c r="C194" s="15">
        <v>45965</v>
      </c>
      <c r="D194" t="s">
        <v>157</v>
      </c>
      <c r="E194" t="s">
        <v>84</v>
      </c>
      <c r="F194" t="s">
        <v>115</v>
      </c>
      <c r="G194" t="s">
        <v>125</v>
      </c>
      <c r="H194" t="s">
        <v>103</v>
      </c>
      <c r="I194" s="17">
        <v>3</v>
      </c>
      <c r="J194" s="16">
        <v>0.15</v>
      </c>
      <c r="K194" t="s">
        <v>140</v>
      </c>
      <c r="L194" t="s">
        <v>89</v>
      </c>
      <c r="M194" s="17">
        <v>4</v>
      </c>
      <c r="N194" t="str" cm="1">
        <f t="array" ref="N194">_xlfn.XLOOKUP(RawSalesTable5[[#This Row],[Product_Code]],ProductLookupTable[[#All],[Product_Code]],ProductLookupTable[[#All],[Product_Name]],"NOT FOUND")</f>
        <v>USB-C Hub</v>
      </c>
      <c r="O194" t="str" cm="1">
        <f t="array" ref="O194">_xlfn.XLOOKUP(RawSalesTable5[[#This Row],[Product_Code]],ProductLookupTable[[#All],[Product_Code]],ProductLookupTable[[#All],[Category]],"NOT FOUND")</f>
        <v>Accessories</v>
      </c>
      <c r="P194" cm="1">
        <f t="array" ref="P194">_xlfn.XLOOKUP(RawSalesTable5[[#This Row],[Product_Code]],ProductLookupTable[[#All],[Product_Code]],ProductLookupTable[[#All],[Unit_Price]],"NOT FOUND")</f>
        <v>1599</v>
      </c>
      <c r="Q194" t="str">
        <f>IF(COUNTIF(ProductLookupTable[Product_Code],RawSalesTable5[[#This Row],[Product_Code]])=0,"Missing Product","OK")</f>
        <v>OK</v>
      </c>
      <c r="R194" cm="1">
        <f t="array" ref="R194">_xlfn.XLOOKUP(RawSalesTable5[[#This Row],[Product_Code]],ProductLookupTable[[#All],[Product_Code]],ProductLookupTable[[#All],[Unit_Cost]],"NOT FOUND")</f>
        <v>870</v>
      </c>
      <c r="S194">
        <f>IFERROR(RawSalesTable5[[#This Row],[Quantity]]*RawSalesTable5[[#This Row],[Unit_Price]],"NOT FOUND")</f>
        <v>4797</v>
      </c>
      <c r="T194">
        <f>IFERROR(RawSalesTable5[[#This Row],[Gross_Revenue]]*RawSalesTable5[[#This Row],[Discount_Pct]],"NOT FOUND")</f>
        <v>719.55</v>
      </c>
      <c r="U194">
        <f>IFERROR(RawSalesTable5[[#This Row],[Gross_Revenue]]-RawSalesTable5[[#This Row],[Discount_Value]],"NOT FOUND")</f>
        <v>4077.45</v>
      </c>
      <c r="V194">
        <f>IFERROR(RawSalesTable5[[#This Row],[Quantity]]*RawSalesTable5[[#This Row],[Unit_Cost]],"NOT FOUND")</f>
        <v>2610</v>
      </c>
      <c r="W194">
        <f>IFERROR(RawSalesTable5[[#This Row],[Net_Revenue]]-RawSalesTable5[[#This Row],[Cost]],"NOT FOUND")</f>
        <v>1467.4499999999998</v>
      </c>
      <c r="X194" s="27">
        <f>IF(RawSalesTable5[[#This Row],[Lookup_Status]]="Missing Product","",IFERROR(RawSalesTable5[[#This Row],[Profit]]/RawSalesTable5[[#This Row],[Net_Revenue]],0))</f>
        <v>0.35989405142920206</v>
      </c>
      <c r="Y194">
        <f>RawSalesTable5[[#This Row],[Ship_Date]]-RawSalesTable5[[#This Row],[Order_Date]]</f>
        <v>8</v>
      </c>
      <c r="Z194" s="28">
        <f>DATE(YEAR(RawSalesTable5[[#This Row],[Order_Date]]),MONTH(RawSalesTable5[[#This Row],[Order_Date]]),1)</f>
        <v>45931</v>
      </c>
      <c r="AA194" t="str" cm="1">
        <f t="array" ref="AA194">IF(RawSalesTable5[[#This Row],[Lookup_Status]]="Missing Product","",_xlfn.IFS(RawSalesTable5[[#This Row],[Net_Revenue]]&gt;=20000,"High",RawSalesTable5[[#This Row],[Net_Revenue]]&gt;=10000,"Medium",TRUE,"Low"))</f>
        <v>Low</v>
      </c>
    </row>
    <row r="195" spans="1:27">
      <c r="A195" t="s">
        <v>327</v>
      </c>
      <c r="B195" s="15">
        <v>45914</v>
      </c>
      <c r="C195" s="15">
        <v>45915</v>
      </c>
      <c r="D195" t="s">
        <v>212</v>
      </c>
      <c r="E195" t="s">
        <v>92</v>
      </c>
      <c r="F195" t="s">
        <v>147</v>
      </c>
      <c r="G195" t="s">
        <v>94</v>
      </c>
      <c r="H195" t="s">
        <v>86</v>
      </c>
      <c r="I195" s="17">
        <v>4</v>
      </c>
      <c r="J195" s="16">
        <v>0</v>
      </c>
      <c r="K195" t="s">
        <v>140</v>
      </c>
      <c r="L195" t="s">
        <v>89</v>
      </c>
      <c r="M195" s="17">
        <v>5</v>
      </c>
      <c r="N195" t="str" cm="1">
        <f t="array" ref="N195">_xlfn.XLOOKUP(RawSalesTable5[[#This Row],[Product_Code]],ProductLookupTable[[#All],[Product_Code]],ProductLookupTable[[#All],[Product_Name]],"NOT FOUND")</f>
        <v>LED Desk Lamp</v>
      </c>
      <c r="O195" t="str" cm="1">
        <f t="array" ref="O195">_xlfn.XLOOKUP(RawSalesTable5[[#This Row],[Product_Code]],ProductLookupTable[[#All],[Product_Code]],ProductLookupTable[[#All],[Category]],"NOT FOUND")</f>
        <v>Furniture</v>
      </c>
      <c r="P195" cm="1">
        <f t="array" ref="P195">_xlfn.XLOOKUP(RawSalesTable5[[#This Row],[Product_Code]],ProductLookupTable[[#All],[Product_Code]],ProductLookupTable[[#All],[Unit_Price]],"NOT FOUND")</f>
        <v>1999</v>
      </c>
      <c r="Q195" t="str">
        <f>IF(COUNTIF(ProductLookupTable[Product_Code],RawSalesTable5[[#This Row],[Product_Code]])=0,"Missing Product","OK")</f>
        <v>OK</v>
      </c>
      <c r="R195" cm="1">
        <f t="array" ref="R195">_xlfn.XLOOKUP(RawSalesTable5[[#This Row],[Product_Code]],ProductLookupTable[[#All],[Product_Code]],ProductLookupTable[[#All],[Unit_Cost]],"NOT FOUND")</f>
        <v>1050</v>
      </c>
      <c r="S195">
        <f>IFERROR(RawSalesTable5[[#This Row],[Quantity]]*RawSalesTable5[[#This Row],[Unit_Price]],"NOT FOUND")</f>
        <v>7996</v>
      </c>
      <c r="T195">
        <f>IFERROR(RawSalesTable5[[#This Row],[Gross_Revenue]]*RawSalesTable5[[#This Row],[Discount_Pct]],"NOT FOUND")</f>
        <v>0</v>
      </c>
      <c r="U195">
        <f>IFERROR(RawSalesTable5[[#This Row],[Gross_Revenue]]-RawSalesTable5[[#This Row],[Discount_Value]],"NOT FOUND")</f>
        <v>7996</v>
      </c>
      <c r="V195">
        <f>IFERROR(RawSalesTable5[[#This Row],[Quantity]]*RawSalesTable5[[#This Row],[Unit_Cost]],"NOT FOUND")</f>
        <v>4200</v>
      </c>
      <c r="W195">
        <f>IFERROR(RawSalesTable5[[#This Row],[Net_Revenue]]-RawSalesTable5[[#This Row],[Cost]],"NOT FOUND")</f>
        <v>3796</v>
      </c>
      <c r="X195" s="27">
        <f>IF(RawSalesTable5[[#This Row],[Lookup_Status]]="Missing Product","",IFERROR(RawSalesTable5[[#This Row],[Profit]]/RawSalesTable5[[#This Row],[Net_Revenue]],0))</f>
        <v>0.47473736868434219</v>
      </c>
      <c r="Y195">
        <f>RawSalesTable5[[#This Row],[Ship_Date]]-RawSalesTable5[[#This Row],[Order_Date]]</f>
        <v>1</v>
      </c>
      <c r="Z195" s="28">
        <f>DATE(YEAR(RawSalesTable5[[#This Row],[Order_Date]]),MONTH(RawSalesTable5[[#This Row],[Order_Date]]),1)</f>
        <v>45901</v>
      </c>
      <c r="AA195" t="str" cm="1">
        <f t="array" ref="AA195">IF(RawSalesTable5[[#This Row],[Lookup_Status]]="Missing Product","",_xlfn.IFS(RawSalesTable5[[#This Row],[Net_Revenue]]&gt;=20000,"High",RawSalesTable5[[#This Row],[Net_Revenue]]&gt;=10000,"Medium",TRUE,"Low"))</f>
        <v>Low</v>
      </c>
    </row>
    <row r="196" spans="1:27">
      <c r="A196" t="s">
        <v>328</v>
      </c>
      <c r="B196" s="15">
        <v>45697</v>
      </c>
      <c r="C196" s="15">
        <v>45702</v>
      </c>
      <c r="D196" t="s">
        <v>123</v>
      </c>
      <c r="E196" t="s">
        <v>98</v>
      </c>
      <c r="F196" t="s">
        <v>107</v>
      </c>
      <c r="G196" t="s">
        <v>86</v>
      </c>
      <c r="H196" t="s">
        <v>86</v>
      </c>
      <c r="I196" s="17">
        <v>2</v>
      </c>
      <c r="J196" s="16">
        <v>0</v>
      </c>
      <c r="K196" t="s">
        <v>140</v>
      </c>
      <c r="L196" t="s">
        <v>89</v>
      </c>
      <c r="M196" s="17">
        <v>4</v>
      </c>
      <c r="N196" t="str" cm="1">
        <f t="array" ref="N196">_xlfn.XLOOKUP(RawSalesTable5[[#This Row],[Product_Code]],ProductLookupTable[[#All],[Product_Code]],ProductLookupTable[[#All],[Product_Name]],"NOT FOUND")</f>
        <v>Bluetooth Speaker</v>
      </c>
      <c r="O196" t="str" cm="1">
        <f t="array" ref="O196">_xlfn.XLOOKUP(RawSalesTable5[[#This Row],[Product_Code]],ProductLookupTable[[#All],[Product_Code]],ProductLookupTable[[#All],[Category]],"NOT FOUND")</f>
        <v>Audio</v>
      </c>
      <c r="P196" cm="1">
        <f t="array" ref="P196">_xlfn.XLOOKUP(RawSalesTable5[[#This Row],[Product_Code]],ProductLookupTable[[#All],[Product_Code]],ProductLookupTable[[#All],[Unit_Price]],"NOT FOUND")</f>
        <v>2799</v>
      </c>
      <c r="Q196" t="str">
        <f>IF(COUNTIF(ProductLookupTable[Product_Code],RawSalesTable5[[#This Row],[Product_Code]])=0,"Missing Product","OK")</f>
        <v>OK</v>
      </c>
      <c r="R196" cm="1">
        <f t="array" ref="R196">_xlfn.XLOOKUP(RawSalesTable5[[#This Row],[Product_Code]],ProductLookupTable[[#All],[Product_Code]],ProductLookupTable[[#All],[Unit_Cost]],"NOT FOUND")</f>
        <v>1650</v>
      </c>
      <c r="S196">
        <f>IFERROR(RawSalesTable5[[#This Row],[Quantity]]*RawSalesTable5[[#This Row],[Unit_Price]],"NOT FOUND")</f>
        <v>5598</v>
      </c>
      <c r="T196">
        <f>IFERROR(RawSalesTable5[[#This Row],[Gross_Revenue]]*RawSalesTable5[[#This Row],[Discount_Pct]],"NOT FOUND")</f>
        <v>0</v>
      </c>
      <c r="U196">
        <f>IFERROR(RawSalesTable5[[#This Row],[Gross_Revenue]]-RawSalesTable5[[#This Row],[Discount_Value]],"NOT FOUND")</f>
        <v>5598</v>
      </c>
      <c r="V196">
        <f>IFERROR(RawSalesTable5[[#This Row],[Quantity]]*RawSalesTable5[[#This Row],[Unit_Cost]],"NOT FOUND")</f>
        <v>3300</v>
      </c>
      <c r="W196">
        <f>IFERROR(RawSalesTable5[[#This Row],[Net_Revenue]]-RawSalesTable5[[#This Row],[Cost]],"NOT FOUND")</f>
        <v>2298</v>
      </c>
      <c r="X196" s="27">
        <f>IF(RawSalesTable5[[#This Row],[Lookup_Status]]="Missing Product","",IFERROR(RawSalesTable5[[#This Row],[Profit]]/RawSalesTable5[[#This Row],[Net_Revenue]],0))</f>
        <v>0.41050375133976419</v>
      </c>
      <c r="Y196">
        <f>RawSalesTable5[[#This Row],[Ship_Date]]-RawSalesTable5[[#This Row],[Order_Date]]</f>
        <v>5</v>
      </c>
      <c r="Z196" s="28">
        <f>DATE(YEAR(RawSalesTable5[[#This Row],[Order_Date]]),MONTH(RawSalesTable5[[#This Row],[Order_Date]]),1)</f>
        <v>45689</v>
      </c>
      <c r="AA196" t="str" cm="1">
        <f t="array" ref="AA196">IF(RawSalesTable5[[#This Row],[Lookup_Status]]="Missing Product","",_xlfn.IFS(RawSalesTable5[[#This Row],[Net_Revenue]]&gt;=20000,"High",RawSalesTable5[[#This Row],[Net_Revenue]]&gt;=10000,"Medium",TRUE,"Low"))</f>
        <v>Low</v>
      </c>
    </row>
    <row r="197" spans="1:27">
      <c r="A197" t="s">
        <v>329</v>
      </c>
      <c r="B197" s="15">
        <v>45999</v>
      </c>
      <c r="C197" s="15">
        <v>46007</v>
      </c>
      <c r="D197" t="s">
        <v>83</v>
      </c>
      <c r="E197" t="s">
        <v>101</v>
      </c>
      <c r="F197" t="s">
        <v>149</v>
      </c>
      <c r="G197" t="s">
        <v>125</v>
      </c>
      <c r="H197" t="s">
        <v>86</v>
      </c>
      <c r="I197" s="17">
        <v>1</v>
      </c>
      <c r="J197" s="16">
        <v>0.2</v>
      </c>
      <c r="K197" t="s">
        <v>140</v>
      </c>
      <c r="L197" t="s">
        <v>89</v>
      </c>
      <c r="M197" s="17">
        <v>3</v>
      </c>
      <c r="N197" t="str" cm="1">
        <f t="array" ref="N197">_xlfn.XLOOKUP(RawSalesTable5[[#This Row],[Product_Code]],ProductLookupTable[[#All],[Product_Code]],ProductLookupTable[[#All],[Product_Name]],"NOT FOUND")</f>
        <v>Portable HDD 2TB</v>
      </c>
      <c r="O197" t="str" cm="1">
        <f t="array" ref="O197">_xlfn.XLOOKUP(RawSalesTable5[[#This Row],[Product_Code]],ProductLookupTable[[#All],[Product_Code]],ProductLookupTable[[#All],[Category]],"NOT FOUND")</f>
        <v>Storage</v>
      </c>
      <c r="P197" cm="1">
        <f t="array" ref="P197">_xlfn.XLOOKUP(RawSalesTable5[[#This Row],[Product_Code]],ProductLookupTable[[#All],[Product_Code]],ProductLookupTable[[#All],[Unit_Price]],"NOT FOUND")</f>
        <v>5899</v>
      </c>
      <c r="Q197" t="str">
        <f>IF(COUNTIF(ProductLookupTable[Product_Code],RawSalesTable5[[#This Row],[Product_Code]])=0,"Missing Product","OK")</f>
        <v>OK</v>
      </c>
      <c r="R197" cm="1">
        <f t="array" ref="R197">_xlfn.XLOOKUP(RawSalesTable5[[#This Row],[Product_Code]],ProductLookupTable[[#All],[Product_Code]],ProductLookupTable[[#All],[Unit_Cost]],"NOT FOUND")</f>
        <v>4100</v>
      </c>
      <c r="S197">
        <f>IFERROR(RawSalesTable5[[#This Row],[Quantity]]*RawSalesTable5[[#This Row],[Unit_Price]],"NOT FOUND")</f>
        <v>5899</v>
      </c>
      <c r="T197">
        <f>IFERROR(RawSalesTable5[[#This Row],[Gross_Revenue]]*RawSalesTable5[[#This Row],[Discount_Pct]],"NOT FOUND")</f>
        <v>1179.8</v>
      </c>
      <c r="U197">
        <f>IFERROR(RawSalesTable5[[#This Row],[Gross_Revenue]]-RawSalesTable5[[#This Row],[Discount_Value]],"NOT FOUND")</f>
        <v>4719.2</v>
      </c>
      <c r="V197">
        <f>IFERROR(RawSalesTable5[[#This Row],[Quantity]]*RawSalesTable5[[#This Row],[Unit_Cost]],"NOT FOUND")</f>
        <v>4100</v>
      </c>
      <c r="W197">
        <f>IFERROR(RawSalesTable5[[#This Row],[Net_Revenue]]-RawSalesTable5[[#This Row],[Cost]],"NOT FOUND")</f>
        <v>619.19999999999982</v>
      </c>
      <c r="X197" s="27">
        <f>IF(RawSalesTable5[[#This Row],[Lookup_Status]]="Missing Product","",IFERROR(RawSalesTable5[[#This Row],[Profit]]/RawSalesTable5[[#This Row],[Net_Revenue]],0))</f>
        <v>0.13120867943719272</v>
      </c>
      <c r="Y197">
        <f>RawSalesTable5[[#This Row],[Ship_Date]]-RawSalesTable5[[#This Row],[Order_Date]]</f>
        <v>8</v>
      </c>
      <c r="Z197" s="28">
        <f>DATE(YEAR(RawSalesTable5[[#This Row],[Order_Date]]),MONTH(RawSalesTable5[[#This Row],[Order_Date]]),1)</f>
        <v>45992</v>
      </c>
      <c r="AA197" t="str" cm="1">
        <f t="array" ref="AA197">IF(RawSalesTable5[[#This Row],[Lookup_Status]]="Missing Product","",_xlfn.IFS(RawSalesTable5[[#This Row],[Net_Revenue]]&gt;=20000,"High",RawSalesTable5[[#This Row],[Net_Revenue]]&gt;=10000,"Medium",TRUE,"Low"))</f>
        <v>Low</v>
      </c>
    </row>
    <row r="198" spans="1:27">
      <c r="A198" t="s">
        <v>330</v>
      </c>
      <c r="B198" s="15">
        <v>45692</v>
      </c>
      <c r="C198" s="15">
        <v>45700</v>
      </c>
      <c r="D198" t="s">
        <v>114</v>
      </c>
      <c r="E198" t="s">
        <v>106</v>
      </c>
      <c r="F198" t="s">
        <v>93</v>
      </c>
      <c r="G198" t="s">
        <v>108</v>
      </c>
      <c r="H198" t="s">
        <v>103</v>
      </c>
      <c r="I198" s="17">
        <v>3</v>
      </c>
      <c r="J198" s="16">
        <v>0</v>
      </c>
      <c r="K198" t="s">
        <v>140</v>
      </c>
      <c r="L198" t="s">
        <v>89</v>
      </c>
      <c r="M198" s="17">
        <v>5</v>
      </c>
      <c r="N198" t="str" cm="1">
        <f t="array" ref="N198">_xlfn.XLOOKUP(RawSalesTable5[[#This Row],[Product_Code]],ProductLookupTable[[#All],[Product_Code]],ProductLookupTable[[#All],[Product_Name]],"NOT FOUND")</f>
        <v>Wireless Headset</v>
      </c>
      <c r="O198" t="str" cm="1">
        <f t="array" ref="O198">_xlfn.XLOOKUP(RawSalesTable5[[#This Row],[Product_Code]],ProductLookupTable[[#All],[Product_Code]],ProductLookupTable[[#All],[Category]],"NOT FOUND")</f>
        <v>Audio</v>
      </c>
      <c r="P198" cm="1">
        <f t="array" ref="P198">_xlfn.XLOOKUP(RawSalesTable5[[#This Row],[Product_Code]],ProductLookupTable[[#All],[Product_Code]],ProductLookupTable[[#All],[Unit_Price]],"NOT FOUND")</f>
        <v>3499</v>
      </c>
      <c r="Q198" t="str">
        <f>IF(COUNTIF(ProductLookupTable[Product_Code],RawSalesTable5[[#This Row],[Product_Code]])=0,"Missing Product","OK")</f>
        <v>OK</v>
      </c>
      <c r="R198" cm="1">
        <f t="array" ref="R198">_xlfn.XLOOKUP(RawSalesTable5[[#This Row],[Product_Code]],ProductLookupTable[[#All],[Product_Code]],ProductLookupTable[[#All],[Unit_Cost]],"NOT FOUND")</f>
        <v>2100</v>
      </c>
      <c r="S198">
        <f>IFERROR(RawSalesTable5[[#This Row],[Quantity]]*RawSalesTable5[[#This Row],[Unit_Price]],"NOT FOUND")</f>
        <v>10497</v>
      </c>
      <c r="T198">
        <f>IFERROR(RawSalesTable5[[#This Row],[Gross_Revenue]]*RawSalesTable5[[#This Row],[Discount_Pct]],"NOT FOUND")</f>
        <v>0</v>
      </c>
      <c r="U198">
        <f>IFERROR(RawSalesTable5[[#This Row],[Gross_Revenue]]-RawSalesTable5[[#This Row],[Discount_Value]],"NOT FOUND")</f>
        <v>10497</v>
      </c>
      <c r="V198">
        <f>IFERROR(RawSalesTable5[[#This Row],[Quantity]]*RawSalesTable5[[#This Row],[Unit_Cost]],"NOT FOUND")</f>
        <v>6300</v>
      </c>
      <c r="W198">
        <f>IFERROR(RawSalesTable5[[#This Row],[Net_Revenue]]-RawSalesTable5[[#This Row],[Cost]],"NOT FOUND")</f>
        <v>4197</v>
      </c>
      <c r="X198" s="27">
        <f>IF(RawSalesTable5[[#This Row],[Lookup_Status]]="Missing Product","",IFERROR(RawSalesTable5[[#This Row],[Profit]]/RawSalesTable5[[#This Row],[Net_Revenue]],0))</f>
        <v>0.3998285224349814</v>
      </c>
      <c r="Y198">
        <f>RawSalesTable5[[#This Row],[Ship_Date]]-RawSalesTable5[[#This Row],[Order_Date]]</f>
        <v>8</v>
      </c>
      <c r="Z198" s="28">
        <f>DATE(YEAR(RawSalesTable5[[#This Row],[Order_Date]]),MONTH(RawSalesTable5[[#This Row],[Order_Date]]),1)</f>
        <v>45689</v>
      </c>
      <c r="AA198" t="str" cm="1">
        <f t="array" ref="AA198">IF(RawSalesTable5[[#This Row],[Lookup_Status]]="Missing Product","",_xlfn.IFS(RawSalesTable5[[#This Row],[Net_Revenue]]&gt;=20000,"High",RawSalesTable5[[#This Row],[Net_Revenue]]&gt;=10000,"Medium",TRUE,"Low"))</f>
        <v>Medium</v>
      </c>
    </row>
    <row r="199" spans="1:27">
      <c r="A199" t="s">
        <v>331</v>
      </c>
      <c r="B199" s="15">
        <v>45958</v>
      </c>
      <c r="C199" s="15">
        <v>45964</v>
      </c>
      <c r="D199" t="s">
        <v>157</v>
      </c>
      <c r="E199" t="s">
        <v>111</v>
      </c>
      <c r="F199" t="s">
        <v>124</v>
      </c>
      <c r="G199" t="s">
        <v>86</v>
      </c>
      <c r="H199" t="s">
        <v>87</v>
      </c>
      <c r="I199" s="17">
        <v>3</v>
      </c>
      <c r="J199" s="16">
        <v>0.15</v>
      </c>
      <c r="K199" t="s">
        <v>112</v>
      </c>
      <c r="L199" t="s">
        <v>126</v>
      </c>
      <c r="M199" s="17">
        <v>1</v>
      </c>
      <c r="N199" t="str" cm="1">
        <f t="array" ref="N199">_xlfn.XLOOKUP(RawSalesTable5[[#This Row],[Product_Code]],ProductLookupTable[[#All],[Product_Code]],ProductLookupTable[[#All],[Product_Name]],"NOT FOUND")</f>
        <v>Wireless Mouse</v>
      </c>
      <c r="O199" t="str" cm="1">
        <f t="array" ref="O199">_xlfn.XLOOKUP(RawSalesTable5[[#This Row],[Product_Code]],ProductLookupTable[[#All],[Product_Code]],ProductLookupTable[[#All],[Category]],"NOT FOUND")</f>
        <v>Accessories</v>
      </c>
      <c r="P199" cm="1">
        <f t="array" ref="P199">_xlfn.XLOOKUP(RawSalesTable5[[#This Row],[Product_Code]],ProductLookupTable[[#All],[Product_Code]],ProductLookupTable[[#All],[Unit_Price]],"NOT FOUND")</f>
        <v>799</v>
      </c>
      <c r="Q199" t="str">
        <f>IF(COUNTIF(ProductLookupTable[Product_Code],RawSalesTable5[[#This Row],[Product_Code]])=0,"Missing Product","OK")</f>
        <v>OK</v>
      </c>
      <c r="R199" cm="1">
        <f t="array" ref="R199">_xlfn.XLOOKUP(RawSalesTable5[[#This Row],[Product_Code]],ProductLookupTable[[#All],[Product_Code]],ProductLookupTable[[#All],[Unit_Cost]],"NOT FOUND")</f>
        <v>420</v>
      </c>
      <c r="S199">
        <f>IFERROR(RawSalesTable5[[#This Row],[Quantity]]*RawSalesTable5[[#This Row],[Unit_Price]],"NOT FOUND")</f>
        <v>2397</v>
      </c>
      <c r="T199">
        <f>IFERROR(RawSalesTable5[[#This Row],[Gross_Revenue]]*RawSalesTable5[[#This Row],[Discount_Pct]],"NOT FOUND")</f>
        <v>359.55</v>
      </c>
      <c r="U199">
        <f>IFERROR(RawSalesTable5[[#This Row],[Gross_Revenue]]-RawSalesTable5[[#This Row],[Discount_Value]],"NOT FOUND")</f>
        <v>2037.45</v>
      </c>
      <c r="V199">
        <f>IFERROR(RawSalesTable5[[#This Row],[Quantity]]*RawSalesTable5[[#This Row],[Unit_Cost]],"NOT FOUND")</f>
        <v>1260</v>
      </c>
      <c r="W199">
        <f>IFERROR(RawSalesTable5[[#This Row],[Net_Revenue]]-RawSalesTable5[[#This Row],[Cost]],"NOT FOUND")</f>
        <v>777.45</v>
      </c>
      <c r="X199" s="27">
        <f>IF(RawSalesTable5[[#This Row],[Lookup_Status]]="Missing Product","",IFERROR(RawSalesTable5[[#This Row],[Profit]]/RawSalesTable5[[#This Row],[Net_Revenue]],0))</f>
        <v>0.38157991607156005</v>
      </c>
      <c r="Y199">
        <f>RawSalesTable5[[#This Row],[Ship_Date]]-RawSalesTable5[[#This Row],[Order_Date]]</f>
        <v>6</v>
      </c>
      <c r="Z199" s="28">
        <f>DATE(YEAR(RawSalesTable5[[#This Row],[Order_Date]]),MONTH(RawSalesTable5[[#This Row],[Order_Date]]),1)</f>
        <v>45931</v>
      </c>
      <c r="AA199" t="str" cm="1">
        <f t="array" ref="AA199">IF(RawSalesTable5[[#This Row],[Lookup_Status]]="Missing Product","",_xlfn.IFS(RawSalesTable5[[#This Row],[Net_Revenue]]&gt;=20000,"High",RawSalesTable5[[#This Row],[Net_Revenue]]&gt;=10000,"Medium",TRUE,"Low"))</f>
        <v>Low</v>
      </c>
    </row>
    <row r="200" spans="1:27">
      <c r="A200" t="s">
        <v>332</v>
      </c>
      <c r="B200" s="15">
        <v>45794</v>
      </c>
      <c r="C200" s="15">
        <v>45799</v>
      </c>
      <c r="D200" t="s">
        <v>212</v>
      </c>
      <c r="E200" t="s">
        <v>84</v>
      </c>
      <c r="F200" t="s">
        <v>102</v>
      </c>
      <c r="G200" t="s">
        <v>108</v>
      </c>
      <c r="H200" t="s">
        <v>87</v>
      </c>
      <c r="I200" s="17">
        <v>2</v>
      </c>
      <c r="J200" s="16">
        <v>0.1</v>
      </c>
      <c r="K200" t="s">
        <v>112</v>
      </c>
      <c r="L200" t="s">
        <v>89</v>
      </c>
      <c r="M200" s="17">
        <v>5</v>
      </c>
      <c r="N200" t="str" cm="1">
        <f t="array" ref="N200">_xlfn.XLOOKUP(RawSalesTable5[[#This Row],[Product_Code]],ProductLookupTable[[#All],[Product_Code]],ProductLookupTable[[#All],[Product_Name]],"NOT FOUND")</f>
        <v>SSD 1TB</v>
      </c>
      <c r="O200" t="str" cm="1">
        <f t="array" ref="O200">_xlfn.XLOOKUP(RawSalesTable5[[#This Row],[Product_Code]],ProductLookupTable[[#All],[Product_Code]],ProductLookupTable[[#All],[Category]],"NOT FOUND")</f>
        <v>Storage</v>
      </c>
      <c r="P200" cm="1">
        <f t="array" ref="P200">_xlfn.XLOOKUP(RawSalesTable5[[#This Row],[Product_Code]],ProductLookupTable[[#All],[Product_Code]],ProductLookupTable[[#All],[Unit_Price]],"NOT FOUND")</f>
        <v>6999</v>
      </c>
      <c r="Q200" t="str">
        <f>IF(COUNTIF(ProductLookupTable[Product_Code],RawSalesTable5[[#This Row],[Product_Code]])=0,"Missing Product","OK")</f>
        <v>OK</v>
      </c>
      <c r="R200" cm="1">
        <f t="array" ref="R200">_xlfn.XLOOKUP(RawSalesTable5[[#This Row],[Product_Code]],ProductLookupTable[[#All],[Product_Code]],ProductLookupTable[[#All],[Unit_Cost]],"NOT FOUND")</f>
        <v>4900</v>
      </c>
      <c r="S200">
        <f>IFERROR(RawSalesTable5[[#This Row],[Quantity]]*RawSalesTable5[[#This Row],[Unit_Price]],"NOT FOUND")</f>
        <v>13998</v>
      </c>
      <c r="T200">
        <f>IFERROR(RawSalesTable5[[#This Row],[Gross_Revenue]]*RawSalesTable5[[#This Row],[Discount_Pct]],"NOT FOUND")</f>
        <v>1399.8000000000002</v>
      </c>
      <c r="U200">
        <f>IFERROR(RawSalesTable5[[#This Row],[Gross_Revenue]]-RawSalesTable5[[#This Row],[Discount_Value]],"NOT FOUND")</f>
        <v>12598.2</v>
      </c>
      <c r="V200">
        <f>IFERROR(RawSalesTable5[[#This Row],[Quantity]]*RawSalesTable5[[#This Row],[Unit_Cost]],"NOT FOUND")</f>
        <v>9800</v>
      </c>
      <c r="W200">
        <f>IFERROR(RawSalesTable5[[#This Row],[Net_Revenue]]-RawSalesTable5[[#This Row],[Cost]],"NOT FOUND")</f>
        <v>2798.2000000000007</v>
      </c>
      <c r="X200" s="27">
        <f>IF(RawSalesTable5[[#This Row],[Lookup_Status]]="Missing Product","",IFERROR(RawSalesTable5[[#This Row],[Profit]]/RawSalesTable5[[#This Row],[Net_Revenue]],0))</f>
        <v>0.22211109523582739</v>
      </c>
      <c r="Y200">
        <f>RawSalesTable5[[#This Row],[Ship_Date]]-RawSalesTable5[[#This Row],[Order_Date]]</f>
        <v>5</v>
      </c>
      <c r="Z200" s="28">
        <f>DATE(YEAR(RawSalesTable5[[#This Row],[Order_Date]]),MONTH(RawSalesTable5[[#This Row],[Order_Date]]),1)</f>
        <v>45778</v>
      </c>
      <c r="AA200" t="str" cm="1">
        <f t="array" ref="AA200">IF(RawSalesTable5[[#This Row],[Lookup_Status]]="Missing Product","",_xlfn.IFS(RawSalesTable5[[#This Row],[Net_Revenue]]&gt;=20000,"High",RawSalesTable5[[#This Row],[Net_Revenue]]&gt;=10000,"Medium",TRUE,"Low"))</f>
        <v>Medium</v>
      </c>
    </row>
    <row r="201" spans="1:27">
      <c r="A201" t="s">
        <v>333</v>
      </c>
      <c r="B201" s="15">
        <v>45750</v>
      </c>
      <c r="C201" s="15">
        <v>45758</v>
      </c>
      <c r="D201" t="s">
        <v>123</v>
      </c>
      <c r="E201" t="s">
        <v>92</v>
      </c>
      <c r="F201" t="s">
        <v>138</v>
      </c>
      <c r="G201" t="s">
        <v>86</v>
      </c>
      <c r="H201" t="s">
        <v>103</v>
      </c>
      <c r="I201" s="17">
        <v>1</v>
      </c>
      <c r="J201" s="16">
        <v>0</v>
      </c>
      <c r="K201" t="s">
        <v>88</v>
      </c>
      <c r="L201" t="s">
        <v>89</v>
      </c>
      <c r="M201" s="17">
        <v>3</v>
      </c>
      <c r="N201" t="str" cm="1">
        <f t="array" ref="N201">_xlfn.XLOOKUP(RawSalesTable5[[#This Row],[Product_Code]],ProductLookupTable[[#All],[Product_Code]],ProductLookupTable[[#All],[Product_Name]],"NOT FOUND")</f>
        <v>24-inch Monitor</v>
      </c>
      <c r="O201" t="str" cm="1">
        <f t="array" ref="O201">_xlfn.XLOOKUP(RawSalesTable5[[#This Row],[Product_Code]],ProductLookupTable[[#All],[Product_Code]],ProductLookupTable[[#All],[Category]],"NOT FOUND")</f>
        <v>Displays</v>
      </c>
      <c r="P201" cm="1">
        <f t="array" ref="P201">_xlfn.XLOOKUP(RawSalesTable5[[#This Row],[Product_Code]],ProductLookupTable[[#All],[Product_Code]],ProductLookupTable[[#All],[Unit_Price]],"NOT FOUND")</f>
        <v>12999</v>
      </c>
      <c r="Q201" t="str">
        <f>IF(COUNTIF(ProductLookupTable[Product_Code],RawSalesTable5[[#This Row],[Product_Code]])=0,"Missing Product","OK")</f>
        <v>OK</v>
      </c>
      <c r="R201" cm="1">
        <f t="array" ref="R201">_xlfn.XLOOKUP(RawSalesTable5[[#This Row],[Product_Code]],ProductLookupTable[[#All],[Product_Code]],ProductLookupTable[[#All],[Unit_Cost]],"NOT FOUND")</f>
        <v>9100</v>
      </c>
      <c r="S201">
        <f>IFERROR(RawSalesTable5[[#This Row],[Quantity]]*RawSalesTable5[[#This Row],[Unit_Price]],"NOT FOUND")</f>
        <v>12999</v>
      </c>
      <c r="T201">
        <f>IFERROR(RawSalesTable5[[#This Row],[Gross_Revenue]]*RawSalesTable5[[#This Row],[Discount_Pct]],"NOT FOUND")</f>
        <v>0</v>
      </c>
      <c r="U201">
        <f>IFERROR(RawSalesTable5[[#This Row],[Gross_Revenue]]-RawSalesTable5[[#This Row],[Discount_Value]],"NOT FOUND")</f>
        <v>12999</v>
      </c>
      <c r="V201">
        <f>IFERROR(RawSalesTable5[[#This Row],[Quantity]]*RawSalesTable5[[#This Row],[Unit_Cost]],"NOT FOUND")</f>
        <v>9100</v>
      </c>
      <c r="W201">
        <f>IFERROR(RawSalesTable5[[#This Row],[Net_Revenue]]-RawSalesTable5[[#This Row],[Cost]],"NOT FOUND")</f>
        <v>3899</v>
      </c>
      <c r="X201" s="27">
        <f>IF(RawSalesTable5[[#This Row],[Lookup_Status]]="Missing Product","",IFERROR(RawSalesTable5[[#This Row],[Profit]]/RawSalesTable5[[#This Row],[Net_Revenue]],0))</f>
        <v>0.29994614970382338</v>
      </c>
      <c r="Y201">
        <f>RawSalesTable5[[#This Row],[Ship_Date]]-RawSalesTable5[[#This Row],[Order_Date]]</f>
        <v>8</v>
      </c>
      <c r="Z201" s="28">
        <f>DATE(YEAR(RawSalesTable5[[#This Row],[Order_Date]]),MONTH(RawSalesTable5[[#This Row],[Order_Date]]),1)</f>
        <v>45748</v>
      </c>
      <c r="AA201" t="str" cm="1">
        <f t="array" ref="AA201">IF(RawSalesTable5[[#This Row],[Lookup_Status]]="Missing Product","",_xlfn.IFS(RawSalesTable5[[#This Row],[Net_Revenue]]&gt;=20000,"High",RawSalesTable5[[#This Row],[Net_Revenue]]&gt;=10000,"Medium",TRUE,"Low"))</f>
        <v>Medium</v>
      </c>
    </row>
    <row r="202" spans="1:27">
      <c r="A202" t="s">
        <v>334</v>
      </c>
      <c r="B202" s="15">
        <v>45752</v>
      </c>
      <c r="C202" s="15">
        <v>45757</v>
      </c>
      <c r="D202" t="s">
        <v>83</v>
      </c>
      <c r="E202" t="s">
        <v>98</v>
      </c>
      <c r="F202" t="s">
        <v>138</v>
      </c>
      <c r="G202" t="s">
        <v>108</v>
      </c>
      <c r="H202" t="s">
        <v>103</v>
      </c>
      <c r="I202" s="17">
        <v>2</v>
      </c>
      <c r="J202" s="16">
        <v>0</v>
      </c>
      <c r="K202" t="s">
        <v>88</v>
      </c>
      <c r="L202" t="s">
        <v>89</v>
      </c>
      <c r="M202" s="17">
        <v>4</v>
      </c>
      <c r="N202" t="str" cm="1">
        <f t="array" ref="N202">_xlfn.XLOOKUP(RawSalesTable5[[#This Row],[Product_Code]],ProductLookupTable[[#All],[Product_Code]],ProductLookupTable[[#All],[Product_Name]],"NOT FOUND")</f>
        <v>24-inch Monitor</v>
      </c>
      <c r="O202" t="str" cm="1">
        <f t="array" ref="O202">_xlfn.XLOOKUP(RawSalesTable5[[#This Row],[Product_Code]],ProductLookupTable[[#All],[Product_Code]],ProductLookupTable[[#All],[Category]],"NOT FOUND")</f>
        <v>Displays</v>
      </c>
      <c r="P202" cm="1">
        <f t="array" ref="P202">_xlfn.XLOOKUP(RawSalesTable5[[#This Row],[Product_Code]],ProductLookupTable[[#All],[Product_Code]],ProductLookupTable[[#All],[Unit_Price]],"NOT FOUND")</f>
        <v>12999</v>
      </c>
      <c r="Q202" t="str">
        <f>IF(COUNTIF(ProductLookupTable[Product_Code],RawSalesTable5[[#This Row],[Product_Code]])=0,"Missing Product","OK")</f>
        <v>OK</v>
      </c>
      <c r="R202" cm="1">
        <f t="array" ref="R202">_xlfn.XLOOKUP(RawSalesTable5[[#This Row],[Product_Code]],ProductLookupTable[[#All],[Product_Code]],ProductLookupTable[[#All],[Unit_Cost]],"NOT FOUND")</f>
        <v>9100</v>
      </c>
      <c r="S202">
        <f>IFERROR(RawSalesTable5[[#This Row],[Quantity]]*RawSalesTable5[[#This Row],[Unit_Price]],"NOT FOUND")</f>
        <v>25998</v>
      </c>
      <c r="T202">
        <f>IFERROR(RawSalesTable5[[#This Row],[Gross_Revenue]]*RawSalesTable5[[#This Row],[Discount_Pct]],"NOT FOUND")</f>
        <v>0</v>
      </c>
      <c r="U202">
        <f>IFERROR(RawSalesTable5[[#This Row],[Gross_Revenue]]-RawSalesTable5[[#This Row],[Discount_Value]],"NOT FOUND")</f>
        <v>25998</v>
      </c>
      <c r="V202">
        <f>IFERROR(RawSalesTable5[[#This Row],[Quantity]]*RawSalesTable5[[#This Row],[Unit_Cost]],"NOT FOUND")</f>
        <v>18200</v>
      </c>
      <c r="W202">
        <f>IFERROR(RawSalesTable5[[#This Row],[Net_Revenue]]-RawSalesTable5[[#This Row],[Cost]],"NOT FOUND")</f>
        <v>7798</v>
      </c>
      <c r="X202" s="27">
        <f>IF(RawSalesTable5[[#This Row],[Lookup_Status]]="Missing Product","",IFERROR(RawSalesTable5[[#This Row],[Profit]]/RawSalesTable5[[#This Row],[Net_Revenue]],0))</f>
        <v>0.29994614970382338</v>
      </c>
      <c r="Y202">
        <f>RawSalesTable5[[#This Row],[Ship_Date]]-RawSalesTable5[[#This Row],[Order_Date]]</f>
        <v>5</v>
      </c>
      <c r="Z202" s="28">
        <f>DATE(YEAR(RawSalesTable5[[#This Row],[Order_Date]]),MONTH(RawSalesTable5[[#This Row],[Order_Date]]),1)</f>
        <v>45748</v>
      </c>
      <c r="AA202" t="str" cm="1">
        <f t="array" ref="AA202">IF(RawSalesTable5[[#This Row],[Lookup_Status]]="Missing Product","",_xlfn.IFS(RawSalesTable5[[#This Row],[Net_Revenue]]&gt;=20000,"High",RawSalesTable5[[#This Row],[Net_Revenue]]&gt;=10000,"Medium",TRUE,"Low"))</f>
        <v>High</v>
      </c>
    </row>
    <row r="203" spans="1:27">
      <c r="A203" t="s">
        <v>335</v>
      </c>
      <c r="B203" s="15">
        <v>45943</v>
      </c>
      <c r="C203" s="15">
        <v>45945</v>
      </c>
      <c r="D203" t="s">
        <v>114</v>
      </c>
      <c r="E203" t="s">
        <v>101</v>
      </c>
      <c r="F203" t="s">
        <v>149</v>
      </c>
      <c r="G203" t="s">
        <v>125</v>
      </c>
      <c r="H203" t="s">
        <v>103</v>
      </c>
      <c r="I203" s="17">
        <v>1</v>
      </c>
      <c r="J203" s="16">
        <v>0</v>
      </c>
      <c r="K203" t="s">
        <v>88</v>
      </c>
      <c r="L203" t="s">
        <v>89</v>
      </c>
      <c r="M203" s="17">
        <v>4</v>
      </c>
      <c r="N203" t="str" cm="1">
        <f t="array" ref="N203">_xlfn.XLOOKUP(RawSalesTable5[[#This Row],[Product_Code]],ProductLookupTable[[#All],[Product_Code]],ProductLookupTable[[#All],[Product_Name]],"NOT FOUND")</f>
        <v>Portable HDD 2TB</v>
      </c>
      <c r="O203" t="str" cm="1">
        <f t="array" ref="O203">_xlfn.XLOOKUP(RawSalesTable5[[#This Row],[Product_Code]],ProductLookupTable[[#All],[Product_Code]],ProductLookupTable[[#All],[Category]],"NOT FOUND")</f>
        <v>Storage</v>
      </c>
      <c r="P203" cm="1">
        <f t="array" ref="P203">_xlfn.XLOOKUP(RawSalesTable5[[#This Row],[Product_Code]],ProductLookupTable[[#All],[Product_Code]],ProductLookupTable[[#All],[Unit_Price]],"NOT FOUND")</f>
        <v>5899</v>
      </c>
      <c r="Q203" t="str">
        <f>IF(COUNTIF(ProductLookupTable[Product_Code],RawSalesTable5[[#This Row],[Product_Code]])=0,"Missing Product","OK")</f>
        <v>OK</v>
      </c>
      <c r="R203" cm="1">
        <f t="array" ref="R203">_xlfn.XLOOKUP(RawSalesTable5[[#This Row],[Product_Code]],ProductLookupTable[[#All],[Product_Code]],ProductLookupTable[[#All],[Unit_Cost]],"NOT FOUND")</f>
        <v>4100</v>
      </c>
      <c r="S203">
        <f>IFERROR(RawSalesTable5[[#This Row],[Quantity]]*RawSalesTable5[[#This Row],[Unit_Price]],"NOT FOUND")</f>
        <v>5899</v>
      </c>
      <c r="T203">
        <f>IFERROR(RawSalesTable5[[#This Row],[Gross_Revenue]]*RawSalesTable5[[#This Row],[Discount_Pct]],"NOT FOUND")</f>
        <v>0</v>
      </c>
      <c r="U203">
        <f>IFERROR(RawSalesTable5[[#This Row],[Gross_Revenue]]-RawSalesTable5[[#This Row],[Discount_Value]],"NOT FOUND")</f>
        <v>5899</v>
      </c>
      <c r="V203">
        <f>IFERROR(RawSalesTable5[[#This Row],[Quantity]]*RawSalesTable5[[#This Row],[Unit_Cost]],"NOT FOUND")</f>
        <v>4100</v>
      </c>
      <c r="W203">
        <f>IFERROR(RawSalesTable5[[#This Row],[Net_Revenue]]-RawSalesTable5[[#This Row],[Cost]],"NOT FOUND")</f>
        <v>1799</v>
      </c>
      <c r="X203" s="27">
        <f>IF(RawSalesTable5[[#This Row],[Lookup_Status]]="Missing Product","",IFERROR(RawSalesTable5[[#This Row],[Profit]]/RawSalesTable5[[#This Row],[Net_Revenue]],0))</f>
        <v>0.30496694354975418</v>
      </c>
      <c r="Y203">
        <f>RawSalesTable5[[#This Row],[Ship_Date]]-RawSalesTable5[[#This Row],[Order_Date]]</f>
        <v>2</v>
      </c>
      <c r="Z203" s="28">
        <f>DATE(YEAR(RawSalesTable5[[#This Row],[Order_Date]]),MONTH(RawSalesTable5[[#This Row],[Order_Date]]),1)</f>
        <v>45931</v>
      </c>
      <c r="AA203" t="str" cm="1">
        <f t="array" ref="AA203">IF(RawSalesTable5[[#This Row],[Lookup_Status]]="Missing Product","",_xlfn.IFS(RawSalesTable5[[#This Row],[Net_Revenue]]&gt;=20000,"High",RawSalesTable5[[#This Row],[Net_Revenue]]&gt;=10000,"Medium",TRUE,"Low"))</f>
        <v>Low</v>
      </c>
    </row>
    <row r="204" spans="1:27">
      <c r="A204" t="s">
        <v>336</v>
      </c>
      <c r="B204" s="15">
        <v>45824</v>
      </c>
      <c r="C204" s="15">
        <v>45830</v>
      </c>
      <c r="D204" t="s">
        <v>157</v>
      </c>
      <c r="E204" t="s">
        <v>106</v>
      </c>
      <c r="F204" t="s">
        <v>121</v>
      </c>
      <c r="G204" t="s">
        <v>125</v>
      </c>
      <c r="H204" t="s">
        <v>103</v>
      </c>
      <c r="I204" s="17">
        <v>3</v>
      </c>
      <c r="J204" s="16">
        <v>0</v>
      </c>
      <c r="K204" t="s">
        <v>88</v>
      </c>
      <c r="L204" t="s">
        <v>89</v>
      </c>
      <c r="M204" s="17">
        <v>5</v>
      </c>
      <c r="N204" t="str" cm="1">
        <f t="array" ref="N204">_xlfn.XLOOKUP(RawSalesTable5[[#This Row],[Product_Code]],ProductLookupTable[[#All],[Product_Code]],ProductLookupTable[[#All],[Product_Name]],"NOT FOUND")</f>
        <v>HD Webcam</v>
      </c>
      <c r="O204" t="str" cm="1">
        <f t="array" ref="O204">_xlfn.XLOOKUP(RawSalesTable5[[#This Row],[Product_Code]],ProductLookupTable[[#All],[Product_Code]],ProductLookupTable[[#All],[Category]],"NOT FOUND")</f>
        <v>Accessories</v>
      </c>
      <c r="P204" cm="1">
        <f t="array" ref="P204">_xlfn.XLOOKUP(RawSalesTable5[[#This Row],[Product_Code]],ProductLookupTable[[#All],[Product_Code]],ProductLookupTable[[#All],[Unit_Price]],"NOT FOUND")</f>
        <v>2899</v>
      </c>
      <c r="Q204" t="str">
        <f>IF(COUNTIF(ProductLookupTable[Product_Code],RawSalesTable5[[#This Row],[Product_Code]])=0,"Missing Product","OK")</f>
        <v>OK</v>
      </c>
      <c r="R204" cm="1">
        <f t="array" ref="R204">_xlfn.XLOOKUP(RawSalesTable5[[#This Row],[Product_Code]],ProductLookupTable[[#All],[Product_Code]],ProductLookupTable[[#All],[Unit_Cost]],"NOT FOUND")</f>
        <v>1700</v>
      </c>
      <c r="S204">
        <f>IFERROR(RawSalesTable5[[#This Row],[Quantity]]*RawSalesTable5[[#This Row],[Unit_Price]],"NOT FOUND")</f>
        <v>8697</v>
      </c>
      <c r="T204">
        <f>IFERROR(RawSalesTable5[[#This Row],[Gross_Revenue]]*RawSalesTable5[[#This Row],[Discount_Pct]],"NOT FOUND")</f>
        <v>0</v>
      </c>
      <c r="U204">
        <f>IFERROR(RawSalesTable5[[#This Row],[Gross_Revenue]]-RawSalesTable5[[#This Row],[Discount_Value]],"NOT FOUND")</f>
        <v>8697</v>
      </c>
      <c r="V204">
        <f>IFERROR(RawSalesTable5[[#This Row],[Quantity]]*RawSalesTable5[[#This Row],[Unit_Cost]],"NOT FOUND")</f>
        <v>5100</v>
      </c>
      <c r="W204">
        <f>IFERROR(RawSalesTable5[[#This Row],[Net_Revenue]]-RawSalesTable5[[#This Row],[Cost]],"NOT FOUND")</f>
        <v>3597</v>
      </c>
      <c r="X204" s="27">
        <f>IF(RawSalesTable5[[#This Row],[Lookup_Status]]="Missing Product","",IFERROR(RawSalesTable5[[#This Row],[Profit]]/RawSalesTable5[[#This Row],[Net_Revenue]],0))</f>
        <v>0.41359089341152122</v>
      </c>
      <c r="Y204">
        <f>RawSalesTable5[[#This Row],[Ship_Date]]-RawSalesTable5[[#This Row],[Order_Date]]</f>
        <v>6</v>
      </c>
      <c r="Z204" s="28">
        <f>DATE(YEAR(RawSalesTable5[[#This Row],[Order_Date]]),MONTH(RawSalesTable5[[#This Row],[Order_Date]]),1)</f>
        <v>45809</v>
      </c>
      <c r="AA204" t="str" cm="1">
        <f t="array" ref="AA204">IF(RawSalesTable5[[#This Row],[Lookup_Status]]="Missing Product","",_xlfn.IFS(RawSalesTable5[[#This Row],[Net_Revenue]]&gt;=20000,"High",RawSalesTable5[[#This Row],[Net_Revenue]]&gt;=10000,"Medium",TRUE,"Low"))</f>
        <v>Low</v>
      </c>
    </row>
    <row r="205" spans="1:27">
      <c r="A205" t="s">
        <v>337</v>
      </c>
      <c r="B205" s="15">
        <v>45906</v>
      </c>
      <c r="C205" s="15">
        <v>45908</v>
      </c>
      <c r="D205" t="s">
        <v>212</v>
      </c>
      <c r="E205" t="s">
        <v>111</v>
      </c>
      <c r="F205" t="s">
        <v>85</v>
      </c>
      <c r="G205" t="s">
        <v>94</v>
      </c>
      <c r="H205" t="s">
        <v>86</v>
      </c>
      <c r="I205" s="17">
        <v>2</v>
      </c>
      <c r="J205" s="16">
        <v>0.1</v>
      </c>
      <c r="K205" t="s">
        <v>88</v>
      </c>
      <c r="L205" t="s">
        <v>89</v>
      </c>
      <c r="M205" s="17">
        <v>5</v>
      </c>
      <c r="N205" t="str" cm="1">
        <f t="array" ref="N205">_xlfn.XLOOKUP(RawSalesTable5[[#This Row],[Product_Code]],ProductLookupTable[[#All],[Product_Code]],ProductLookupTable[[#All],[Product_Name]],"NOT FOUND")</f>
        <v>Ergonomic Chair</v>
      </c>
      <c r="O205" t="str" cm="1">
        <f t="array" ref="O205">_xlfn.XLOOKUP(RawSalesTable5[[#This Row],[Product_Code]],ProductLookupTable[[#All],[Product_Code]],ProductLookupTable[[#All],[Category]],"NOT FOUND")</f>
        <v>Furniture</v>
      </c>
      <c r="P205" cm="1">
        <f t="array" ref="P205">_xlfn.XLOOKUP(RawSalesTable5[[#This Row],[Product_Code]],ProductLookupTable[[#All],[Product_Code]],ProductLookupTable[[#All],[Unit_Price]],"NOT FOUND")</f>
        <v>10499</v>
      </c>
      <c r="Q205" t="str">
        <f>IF(COUNTIF(ProductLookupTable[Product_Code],RawSalesTable5[[#This Row],[Product_Code]])=0,"Missing Product","OK")</f>
        <v>OK</v>
      </c>
      <c r="R205" cm="1">
        <f t="array" ref="R205">_xlfn.XLOOKUP(RawSalesTable5[[#This Row],[Product_Code]],ProductLookupTable[[#All],[Product_Code]],ProductLookupTable[[#All],[Unit_Cost]],"NOT FOUND")</f>
        <v>7600</v>
      </c>
      <c r="S205">
        <f>IFERROR(RawSalesTable5[[#This Row],[Quantity]]*RawSalesTable5[[#This Row],[Unit_Price]],"NOT FOUND")</f>
        <v>20998</v>
      </c>
      <c r="T205">
        <f>IFERROR(RawSalesTable5[[#This Row],[Gross_Revenue]]*RawSalesTable5[[#This Row],[Discount_Pct]],"NOT FOUND")</f>
        <v>2099.8000000000002</v>
      </c>
      <c r="U205">
        <f>IFERROR(RawSalesTable5[[#This Row],[Gross_Revenue]]-RawSalesTable5[[#This Row],[Discount_Value]],"NOT FOUND")</f>
        <v>18898.2</v>
      </c>
      <c r="V205">
        <f>IFERROR(RawSalesTable5[[#This Row],[Quantity]]*RawSalesTable5[[#This Row],[Unit_Cost]],"NOT FOUND")</f>
        <v>15200</v>
      </c>
      <c r="W205">
        <f>IFERROR(RawSalesTable5[[#This Row],[Net_Revenue]]-RawSalesTable5[[#This Row],[Cost]],"NOT FOUND")</f>
        <v>3698.2000000000007</v>
      </c>
      <c r="X205" s="27">
        <f>IF(RawSalesTable5[[#This Row],[Lookup_Status]]="Missing Product","",IFERROR(RawSalesTable5[[#This Row],[Profit]]/RawSalesTable5[[#This Row],[Net_Revenue]],0))</f>
        <v>0.19569059487146928</v>
      </c>
      <c r="Y205">
        <f>RawSalesTable5[[#This Row],[Ship_Date]]-RawSalesTable5[[#This Row],[Order_Date]]</f>
        <v>2</v>
      </c>
      <c r="Z205" s="28">
        <f>DATE(YEAR(RawSalesTable5[[#This Row],[Order_Date]]),MONTH(RawSalesTable5[[#This Row],[Order_Date]]),1)</f>
        <v>45901</v>
      </c>
      <c r="AA205" t="str" cm="1">
        <f t="array" ref="AA205">IF(RawSalesTable5[[#This Row],[Lookup_Status]]="Missing Product","",_xlfn.IFS(RawSalesTable5[[#This Row],[Net_Revenue]]&gt;=20000,"High",RawSalesTable5[[#This Row],[Net_Revenue]]&gt;=10000,"Medium",TRUE,"Low"))</f>
        <v>Medium</v>
      </c>
    </row>
    <row r="206" spans="1:27">
      <c r="A206" t="s">
        <v>338</v>
      </c>
      <c r="B206" s="15">
        <v>45805</v>
      </c>
      <c r="C206" s="15">
        <v>45813</v>
      </c>
      <c r="D206" t="s">
        <v>123</v>
      </c>
      <c r="E206" t="s">
        <v>84</v>
      </c>
      <c r="F206" t="s">
        <v>115</v>
      </c>
      <c r="G206" t="s">
        <v>86</v>
      </c>
      <c r="H206" t="s">
        <v>86</v>
      </c>
      <c r="I206" s="17">
        <v>5</v>
      </c>
      <c r="J206" s="16">
        <v>0</v>
      </c>
      <c r="K206" t="s">
        <v>88</v>
      </c>
      <c r="L206" t="s">
        <v>89</v>
      </c>
      <c r="M206" s="17">
        <v>5</v>
      </c>
      <c r="N206" t="str" cm="1">
        <f t="array" ref="N206">_xlfn.XLOOKUP(RawSalesTable5[[#This Row],[Product_Code]],ProductLookupTable[[#All],[Product_Code]],ProductLookupTable[[#All],[Product_Name]],"NOT FOUND")</f>
        <v>USB-C Hub</v>
      </c>
      <c r="O206" t="str" cm="1">
        <f t="array" ref="O206">_xlfn.XLOOKUP(RawSalesTable5[[#This Row],[Product_Code]],ProductLookupTable[[#All],[Product_Code]],ProductLookupTable[[#All],[Category]],"NOT FOUND")</f>
        <v>Accessories</v>
      </c>
      <c r="P206" cm="1">
        <f t="array" ref="P206">_xlfn.XLOOKUP(RawSalesTable5[[#This Row],[Product_Code]],ProductLookupTable[[#All],[Product_Code]],ProductLookupTable[[#All],[Unit_Price]],"NOT FOUND")</f>
        <v>1599</v>
      </c>
      <c r="Q206" t="str">
        <f>IF(COUNTIF(ProductLookupTable[Product_Code],RawSalesTable5[[#This Row],[Product_Code]])=0,"Missing Product","OK")</f>
        <v>OK</v>
      </c>
      <c r="R206" cm="1">
        <f t="array" ref="R206">_xlfn.XLOOKUP(RawSalesTable5[[#This Row],[Product_Code]],ProductLookupTable[[#All],[Product_Code]],ProductLookupTable[[#All],[Unit_Cost]],"NOT FOUND")</f>
        <v>870</v>
      </c>
      <c r="S206">
        <f>IFERROR(RawSalesTable5[[#This Row],[Quantity]]*RawSalesTable5[[#This Row],[Unit_Price]],"NOT FOUND")</f>
        <v>7995</v>
      </c>
      <c r="T206">
        <f>IFERROR(RawSalesTable5[[#This Row],[Gross_Revenue]]*RawSalesTable5[[#This Row],[Discount_Pct]],"NOT FOUND")</f>
        <v>0</v>
      </c>
      <c r="U206">
        <f>IFERROR(RawSalesTable5[[#This Row],[Gross_Revenue]]-RawSalesTable5[[#This Row],[Discount_Value]],"NOT FOUND")</f>
        <v>7995</v>
      </c>
      <c r="V206">
        <f>IFERROR(RawSalesTable5[[#This Row],[Quantity]]*RawSalesTable5[[#This Row],[Unit_Cost]],"NOT FOUND")</f>
        <v>4350</v>
      </c>
      <c r="W206">
        <f>IFERROR(RawSalesTable5[[#This Row],[Net_Revenue]]-RawSalesTable5[[#This Row],[Cost]],"NOT FOUND")</f>
        <v>3645</v>
      </c>
      <c r="X206" s="27">
        <f>IF(RawSalesTable5[[#This Row],[Lookup_Status]]="Missing Product","",IFERROR(RawSalesTable5[[#This Row],[Profit]]/RawSalesTable5[[#This Row],[Net_Revenue]],0))</f>
        <v>0.45590994371482174</v>
      </c>
      <c r="Y206">
        <f>RawSalesTable5[[#This Row],[Ship_Date]]-RawSalesTable5[[#This Row],[Order_Date]]</f>
        <v>8</v>
      </c>
      <c r="Z206" s="28">
        <f>DATE(YEAR(RawSalesTable5[[#This Row],[Order_Date]]),MONTH(RawSalesTable5[[#This Row],[Order_Date]]),1)</f>
        <v>45778</v>
      </c>
      <c r="AA206" t="str" cm="1">
        <f t="array" ref="AA206">IF(RawSalesTable5[[#This Row],[Lookup_Status]]="Missing Product","",_xlfn.IFS(RawSalesTable5[[#This Row],[Net_Revenue]]&gt;=20000,"High",RawSalesTable5[[#This Row],[Net_Revenue]]&gt;=10000,"Medium",TRUE,"Low"))</f>
        <v>Low</v>
      </c>
    </row>
    <row r="207" spans="1:27">
      <c r="A207" t="s">
        <v>339</v>
      </c>
      <c r="B207" s="15">
        <v>45676</v>
      </c>
      <c r="C207" s="15">
        <v>45677</v>
      </c>
      <c r="D207" t="s">
        <v>83</v>
      </c>
      <c r="E207" t="s">
        <v>92</v>
      </c>
      <c r="F207" t="s">
        <v>147</v>
      </c>
      <c r="G207" t="s">
        <v>94</v>
      </c>
      <c r="H207" t="s">
        <v>103</v>
      </c>
      <c r="I207" s="17">
        <v>4</v>
      </c>
      <c r="J207" s="16">
        <v>0.05</v>
      </c>
      <c r="K207" t="s">
        <v>140</v>
      </c>
      <c r="L207" t="s">
        <v>89</v>
      </c>
      <c r="M207" s="17">
        <v>3</v>
      </c>
      <c r="N207" t="str" cm="1">
        <f t="array" ref="N207">_xlfn.XLOOKUP(RawSalesTable5[[#This Row],[Product_Code]],ProductLookupTable[[#All],[Product_Code]],ProductLookupTable[[#All],[Product_Name]],"NOT FOUND")</f>
        <v>LED Desk Lamp</v>
      </c>
      <c r="O207" t="str" cm="1">
        <f t="array" ref="O207">_xlfn.XLOOKUP(RawSalesTable5[[#This Row],[Product_Code]],ProductLookupTable[[#All],[Product_Code]],ProductLookupTable[[#All],[Category]],"NOT FOUND")</f>
        <v>Furniture</v>
      </c>
      <c r="P207" cm="1">
        <f t="array" ref="P207">_xlfn.XLOOKUP(RawSalesTable5[[#This Row],[Product_Code]],ProductLookupTable[[#All],[Product_Code]],ProductLookupTable[[#All],[Unit_Price]],"NOT FOUND")</f>
        <v>1999</v>
      </c>
      <c r="Q207" t="str">
        <f>IF(COUNTIF(ProductLookupTable[Product_Code],RawSalesTable5[[#This Row],[Product_Code]])=0,"Missing Product","OK")</f>
        <v>OK</v>
      </c>
      <c r="R207" cm="1">
        <f t="array" ref="R207">_xlfn.XLOOKUP(RawSalesTable5[[#This Row],[Product_Code]],ProductLookupTable[[#All],[Product_Code]],ProductLookupTable[[#All],[Unit_Cost]],"NOT FOUND")</f>
        <v>1050</v>
      </c>
      <c r="S207">
        <f>IFERROR(RawSalesTable5[[#This Row],[Quantity]]*RawSalesTable5[[#This Row],[Unit_Price]],"NOT FOUND")</f>
        <v>7996</v>
      </c>
      <c r="T207">
        <f>IFERROR(RawSalesTable5[[#This Row],[Gross_Revenue]]*RawSalesTable5[[#This Row],[Discount_Pct]],"NOT FOUND")</f>
        <v>399.8</v>
      </c>
      <c r="U207">
        <f>IFERROR(RawSalesTable5[[#This Row],[Gross_Revenue]]-RawSalesTable5[[#This Row],[Discount_Value]],"NOT FOUND")</f>
        <v>7596.2</v>
      </c>
      <c r="V207">
        <f>IFERROR(RawSalesTable5[[#This Row],[Quantity]]*RawSalesTable5[[#This Row],[Unit_Cost]],"NOT FOUND")</f>
        <v>4200</v>
      </c>
      <c r="W207">
        <f>IFERROR(RawSalesTable5[[#This Row],[Net_Revenue]]-RawSalesTable5[[#This Row],[Cost]],"NOT FOUND")</f>
        <v>3396.2</v>
      </c>
      <c r="X207" s="27">
        <f>IF(RawSalesTable5[[#This Row],[Lookup_Status]]="Missing Product","",IFERROR(RawSalesTable5[[#This Row],[Profit]]/RawSalesTable5[[#This Row],[Net_Revenue]],0))</f>
        <v>0.44709196703614962</v>
      </c>
      <c r="Y207">
        <f>RawSalesTable5[[#This Row],[Ship_Date]]-RawSalesTable5[[#This Row],[Order_Date]]</f>
        <v>1</v>
      </c>
      <c r="Z207" s="28">
        <f>DATE(YEAR(RawSalesTable5[[#This Row],[Order_Date]]),MONTH(RawSalesTable5[[#This Row],[Order_Date]]),1)</f>
        <v>45658</v>
      </c>
      <c r="AA207" t="str" cm="1">
        <f t="array" ref="AA207">IF(RawSalesTable5[[#This Row],[Lookup_Status]]="Missing Product","",_xlfn.IFS(RawSalesTable5[[#This Row],[Net_Revenue]]&gt;=20000,"High",RawSalesTable5[[#This Row],[Net_Revenue]]&gt;=10000,"Medium",TRUE,"Low"))</f>
        <v>Low</v>
      </c>
    </row>
    <row r="208" spans="1:27">
      <c r="A208" t="s">
        <v>340</v>
      </c>
      <c r="B208" s="15">
        <v>45684</v>
      </c>
      <c r="C208" s="15">
        <v>45685</v>
      </c>
      <c r="D208" t="s">
        <v>114</v>
      </c>
      <c r="E208" t="s">
        <v>98</v>
      </c>
      <c r="F208" t="s">
        <v>107</v>
      </c>
      <c r="G208" t="s">
        <v>108</v>
      </c>
      <c r="H208" t="s">
        <v>103</v>
      </c>
      <c r="I208" s="17">
        <v>4</v>
      </c>
      <c r="J208" s="16">
        <v>0.1</v>
      </c>
      <c r="K208" t="s">
        <v>112</v>
      </c>
      <c r="L208" t="s">
        <v>89</v>
      </c>
      <c r="M208" s="17">
        <v>3</v>
      </c>
      <c r="N208" t="str" cm="1">
        <f t="array" ref="N208">_xlfn.XLOOKUP(RawSalesTable5[[#This Row],[Product_Code]],ProductLookupTable[[#All],[Product_Code]],ProductLookupTable[[#All],[Product_Name]],"NOT FOUND")</f>
        <v>Bluetooth Speaker</v>
      </c>
      <c r="O208" t="str" cm="1">
        <f t="array" ref="O208">_xlfn.XLOOKUP(RawSalesTable5[[#This Row],[Product_Code]],ProductLookupTable[[#All],[Product_Code]],ProductLookupTable[[#All],[Category]],"NOT FOUND")</f>
        <v>Audio</v>
      </c>
      <c r="P208" cm="1">
        <f t="array" ref="P208">_xlfn.XLOOKUP(RawSalesTable5[[#This Row],[Product_Code]],ProductLookupTable[[#All],[Product_Code]],ProductLookupTable[[#All],[Unit_Price]],"NOT FOUND")</f>
        <v>2799</v>
      </c>
      <c r="Q208" t="str">
        <f>IF(COUNTIF(ProductLookupTable[Product_Code],RawSalesTable5[[#This Row],[Product_Code]])=0,"Missing Product","OK")</f>
        <v>OK</v>
      </c>
      <c r="R208" cm="1">
        <f t="array" ref="R208">_xlfn.XLOOKUP(RawSalesTable5[[#This Row],[Product_Code]],ProductLookupTable[[#All],[Product_Code]],ProductLookupTable[[#All],[Unit_Cost]],"NOT FOUND")</f>
        <v>1650</v>
      </c>
      <c r="S208">
        <f>IFERROR(RawSalesTable5[[#This Row],[Quantity]]*RawSalesTable5[[#This Row],[Unit_Price]],"NOT FOUND")</f>
        <v>11196</v>
      </c>
      <c r="T208">
        <f>IFERROR(RawSalesTable5[[#This Row],[Gross_Revenue]]*RawSalesTable5[[#This Row],[Discount_Pct]],"NOT FOUND")</f>
        <v>1119.6000000000001</v>
      </c>
      <c r="U208">
        <f>IFERROR(RawSalesTable5[[#This Row],[Gross_Revenue]]-RawSalesTable5[[#This Row],[Discount_Value]],"NOT FOUND")</f>
        <v>10076.4</v>
      </c>
      <c r="V208">
        <f>IFERROR(RawSalesTable5[[#This Row],[Quantity]]*RawSalesTable5[[#This Row],[Unit_Cost]],"NOT FOUND")</f>
        <v>6600</v>
      </c>
      <c r="W208">
        <f>IFERROR(RawSalesTable5[[#This Row],[Net_Revenue]]-RawSalesTable5[[#This Row],[Cost]],"NOT FOUND")</f>
        <v>3476.3999999999996</v>
      </c>
      <c r="X208" s="27">
        <f>IF(RawSalesTable5[[#This Row],[Lookup_Status]]="Missing Product","",IFERROR(RawSalesTable5[[#This Row],[Profit]]/RawSalesTable5[[#This Row],[Net_Revenue]],0))</f>
        <v>0.34500416815529356</v>
      </c>
      <c r="Y208">
        <f>RawSalesTable5[[#This Row],[Ship_Date]]-RawSalesTable5[[#This Row],[Order_Date]]</f>
        <v>1</v>
      </c>
      <c r="Z208" s="28">
        <f>DATE(YEAR(RawSalesTable5[[#This Row],[Order_Date]]),MONTH(RawSalesTable5[[#This Row],[Order_Date]]),1)</f>
        <v>45658</v>
      </c>
      <c r="AA208" t="str" cm="1">
        <f t="array" ref="AA208">IF(RawSalesTable5[[#This Row],[Lookup_Status]]="Missing Product","",_xlfn.IFS(RawSalesTable5[[#This Row],[Net_Revenue]]&gt;=20000,"High",RawSalesTable5[[#This Row],[Net_Revenue]]&gt;=10000,"Medium",TRUE,"Low"))</f>
        <v>Medium</v>
      </c>
    </row>
    <row r="209" spans="1:27">
      <c r="A209" t="s">
        <v>341</v>
      </c>
      <c r="B209" s="15">
        <v>45701</v>
      </c>
      <c r="C209" s="15">
        <v>45702</v>
      </c>
      <c r="D209" t="s">
        <v>157</v>
      </c>
      <c r="E209" t="s">
        <v>101</v>
      </c>
      <c r="F209" t="s">
        <v>102</v>
      </c>
      <c r="G209" t="s">
        <v>108</v>
      </c>
      <c r="H209" t="s">
        <v>86</v>
      </c>
      <c r="I209" s="17">
        <v>1</v>
      </c>
      <c r="J209" s="16">
        <v>0</v>
      </c>
      <c r="K209" t="s">
        <v>140</v>
      </c>
      <c r="L209" t="s">
        <v>89</v>
      </c>
      <c r="M209" s="17">
        <v>4</v>
      </c>
      <c r="N209" t="str" cm="1">
        <f t="array" ref="N209">_xlfn.XLOOKUP(RawSalesTable5[[#This Row],[Product_Code]],ProductLookupTable[[#All],[Product_Code]],ProductLookupTable[[#All],[Product_Name]],"NOT FOUND")</f>
        <v>SSD 1TB</v>
      </c>
      <c r="O209" t="str" cm="1">
        <f t="array" ref="O209">_xlfn.XLOOKUP(RawSalesTable5[[#This Row],[Product_Code]],ProductLookupTable[[#All],[Product_Code]],ProductLookupTable[[#All],[Category]],"NOT FOUND")</f>
        <v>Storage</v>
      </c>
      <c r="P209" cm="1">
        <f t="array" ref="P209">_xlfn.XLOOKUP(RawSalesTable5[[#This Row],[Product_Code]],ProductLookupTable[[#All],[Product_Code]],ProductLookupTable[[#All],[Unit_Price]],"NOT FOUND")</f>
        <v>6999</v>
      </c>
      <c r="Q209" t="str">
        <f>IF(COUNTIF(ProductLookupTable[Product_Code],RawSalesTable5[[#This Row],[Product_Code]])=0,"Missing Product","OK")</f>
        <v>OK</v>
      </c>
      <c r="R209" cm="1">
        <f t="array" ref="R209">_xlfn.XLOOKUP(RawSalesTable5[[#This Row],[Product_Code]],ProductLookupTable[[#All],[Product_Code]],ProductLookupTable[[#All],[Unit_Cost]],"NOT FOUND")</f>
        <v>4900</v>
      </c>
      <c r="S209">
        <f>IFERROR(RawSalesTable5[[#This Row],[Quantity]]*RawSalesTable5[[#This Row],[Unit_Price]],"NOT FOUND")</f>
        <v>6999</v>
      </c>
      <c r="T209">
        <f>IFERROR(RawSalesTable5[[#This Row],[Gross_Revenue]]*RawSalesTable5[[#This Row],[Discount_Pct]],"NOT FOUND")</f>
        <v>0</v>
      </c>
      <c r="U209">
        <f>IFERROR(RawSalesTable5[[#This Row],[Gross_Revenue]]-RawSalesTable5[[#This Row],[Discount_Value]],"NOT FOUND")</f>
        <v>6999</v>
      </c>
      <c r="V209">
        <f>IFERROR(RawSalesTable5[[#This Row],[Quantity]]*RawSalesTable5[[#This Row],[Unit_Cost]],"NOT FOUND")</f>
        <v>4900</v>
      </c>
      <c r="W209">
        <f>IFERROR(RawSalesTable5[[#This Row],[Net_Revenue]]-RawSalesTable5[[#This Row],[Cost]],"NOT FOUND")</f>
        <v>2099</v>
      </c>
      <c r="X209" s="27">
        <f>IF(RawSalesTable5[[#This Row],[Lookup_Status]]="Missing Product","",IFERROR(RawSalesTable5[[#This Row],[Profit]]/RawSalesTable5[[#This Row],[Net_Revenue]],0))</f>
        <v>0.29989998571224463</v>
      </c>
      <c r="Y209">
        <f>RawSalesTable5[[#This Row],[Ship_Date]]-RawSalesTable5[[#This Row],[Order_Date]]</f>
        <v>1</v>
      </c>
      <c r="Z209" s="28">
        <f>DATE(YEAR(RawSalesTable5[[#This Row],[Order_Date]]),MONTH(RawSalesTable5[[#This Row],[Order_Date]]),1)</f>
        <v>45689</v>
      </c>
      <c r="AA209" t="str" cm="1">
        <f t="array" ref="AA209">IF(RawSalesTable5[[#This Row],[Lookup_Status]]="Missing Product","",_xlfn.IFS(RawSalesTable5[[#This Row],[Net_Revenue]]&gt;=20000,"High",RawSalesTable5[[#This Row],[Net_Revenue]]&gt;=10000,"Medium",TRUE,"Low"))</f>
        <v>Low</v>
      </c>
    </row>
    <row r="210" spans="1:27">
      <c r="A210" t="s">
        <v>342</v>
      </c>
      <c r="B210" s="15">
        <v>45720</v>
      </c>
      <c r="C210" s="15">
        <v>45721</v>
      </c>
      <c r="D210" t="s">
        <v>212</v>
      </c>
      <c r="E210" t="s">
        <v>106</v>
      </c>
      <c r="F210" t="s">
        <v>107</v>
      </c>
      <c r="G210" t="s">
        <v>86</v>
      </c>
      <c r="H210" t="s">
        <v>87</v>
      </c>
      <c r="I210" s="17">
        <v>1</v>
      </c>
      <c r="J210" s="16">
        <v>0</v>
      </c>
      <c r="K210" t="s">
        <v>140</v>
      </c>
      <c r="L210" t="s">
        <v>89</v>
      </c>
      <c r="M210" s="17">
        <v>5</v>
      </c>
      <c r="N210" t="str" cm="1">
        <f t="array" ref="N210">_xlfn.XLOOKUP(RawSalesTable5[[#This Row],[Product_Code]],ProductLookupTable[[#All],[Product_Code]],ProductLookupTable[[#All],[Product_Name]],"NOT FOUND")</f>
        <v>Bluetooth Speaker</v>
      </c>
      <c r="O210" t="str" cm="1">
        <f t="array" ref="O210">_xlfn.XLOOKUP(RawSalesTable5[[#This Row],[Product_Code]],ProductLookupTable[[#All],[Product_Code]],ProductLookupTable[[#All],[Category]],"NOT FOUND")</f>
        <v>Audio</v>
      </c>
      <c r="P210" cm="1">
        <f t="array" ref="P210">_xlfn.XLOOKUP(RawSalesTable5[[#This Row],[Product_Code]],ProductLookupTable[[#All],[Product_Code]],ProductLookupTable[[#All],[Unit_Price]],"NOT FOUND")</f>
        <v>2799</v>
      </c>
      <c r="Q210" t="str">
        <f>IF(COUNTIF(ProductLookupTable[Product_Code],RawSalesTable5[[#This Row],[Product_Code]])=0,"Missing Product","OK")</f>
        <v>OK</v>
      </c>
      <c r="R210" cm="1">
        <f t="array" ref="R210">_xlfn.XLOOKUP(RawSalesTable5[[#This Row],[Product_Code]],ProductLookupTable[[#All],[Product_Code]],ProductLookupTable[[#All],[Unit_Cost]],"NOT FOUND")</f>
        <v>1650</v>
      </c>
      <c r="S210">
        <f>IFERROR(RawSalesTable5[[#This Row],[Quantity]]*RawSalesTable5[[#This Row],[Unit_Price]],"NOT FOUND")</f>
        <v>2799</v>
      </c>
      <c r="T210">
        <f>IFERROR(RawSalesTable5[[#This Row],[Gross_Revenue]]*RawSalesTable5[[#This Row],[Discount_Pct]],"NOT FOUND")</f>
        <v>0</v>
      </c>
      <c r="U210">
        <f>IFERROR(RawSalesTable5[[#This Row],[Gross_Revenue]]-RawSalesTable5[[#This Row],[Discount_Value]],"NOT FOUND")</f>
        <v>2799</v>
      </c>
      <c r="V210">
        <f>IFERROR(RawSalesTable5[[#This Row],[Quantity]]*RawSalesTable5[[#This Row],[Unit_Cost]],"NOT FOUND")</f>
        <v>1650</v>
      </c>
      <c r="W210">
        <f>IFERROR(RawSalesTable5[[#This Row],[Net_Revenue]]-RawSalesTable5[[#This Row],[Cost]],"NOT FOUND")</f>
        <v>1149</v>
      </c>
      <c r="X210" s="27">
        <f>IF(RawSalesTable5[[#This Row],[Lookup_Status]]="Missing Product","",IFERROR(RawSalesTable5[[#This Row],[Profit]]/RawSalesTable5[[#This Row],[Net_Revenue]],0))</f>
        <v>0.41050375133976419</v>
      </c>
      <c r="Y210">
        <f>RawSalesTable5[[#This Row],[Ship_Date]]-RawSalesTable5[[#This Row],[Order_Date]]</f>
        <v>1</v>
      </c>
      <c r="Z210" s="28">
        <f>DATE(YEAR(RawSalesTable5[[#This Row],[Order_Date]]),MONTH(RawSalesTable5[[#This Row],[Order_Date]]),1)</f>
        <v>45717</v>
      </c>
      <c r="AA210" t="str" cm="1">
        <f t="array" ref="AA210">IF(RawSalesTable5[[#This Row],[Lookup_Status]]="Missing Product","",_xlfn.IFS(RawSalesTable5[[#This Row],[Net_Revenue]]&gt;=20000,"High",RawSalesTable5[[#This Row],[Net_Revenue]]&gt;=10000,"Medium",TRUE,"Low"))</f>
        <v>Low</v>
      </c>
    </row>
    <row r="211" spans="1:27">
      <c r="A211" t="s">
        <v>343</v>
      </c>
      <c r="B211" s="15">
        <v>45943</v>
      </c>
      <c r="C211" s="15">
        <v>45947</v>
      </c>
      <c r="D211" t="s">
        <v>123</v>
      </c>
      <c r="E211" t="s">
        <v>111</v>
      </c>
      <c r="F211" t="s">
        <v>138</v>
      </c>
      <c r="G211" t="s">
        <v>108</v>
      </c>
      <c r="H211" t="s">
        <v>103</v>
      </c>
      <c r="I211" s="17">
        <v>3</v>
      </c>
      <c r="J211" s="16">
        <v>0.05</v>
      </c>
      <c r="K211" t="s">
        <v>88</v>
      </c>
      <c r="L211" t="s">
        <v>89</v>
      </c>
      <c r="M211" s="17">
        <v>3</v>
      </c>
      <c r="N211" t="str" cm="1">
        <f t="array" ref="N211">_xlfn.XLOOKUP(RawSalesTable5[[#This Row],[Product_Code]],ProductLookupTable[[#All],[Product_Code]],ProductLookupTable[[#All],[Product_Name]],"NOT FOUND")</f>
        <v>24-inch Monitor</v>
      </c>
      <c r="O211" t="str" cm="1">
        <f t="array" ref="O211">_xlfn.XLOOKUP(RawSalesTable5[[#This Row],[Product_Code]],ProductLookupTable[[#All],[Product_Code]],ProductLookupTable[[#All],[Category]],"NOT FOUND")</f>
        <v>Displays</v>
      </c>
      <c r="P211" cm="1">
        <f t="array" ref="P211">_xlfn.XLOOKUP(RawSalesTable5[[#This Row],[Product_Code]],ProductLookupTable[[#All],[Product_Code]],ProductLookupTable[[#All],[Unit_Price]],"NOT FOUND")</f>
        <v>12999</v>
      </c>
      <c r="Q211" t="str">
        <f>IF(COUNTIF(ProductLookupTable[Product_Code],RawSalesTable5[[#This Row],[Product_Code]])=0,"Missing Product","OK")</f>
        <v>OK</v>
      </c>
      <c r="R211" cm="1">
        <f t="array" ref="R211">_xlfn.XLOOKUP(RawSalesTable5[[#This Row],[Product_Code]],ProductLookupTable[[#All],[Product_Code]],ProductLookupTable[[#All],[Unit_Cost]],"NOT FOUND")</f>
        <v>9100</v>
      </c>
      <c r="S211">
        <f>IFERROR(RawSalesTable5[[#This Row],[Quantity]]*RawSalesTable5[[#This Row],[Unit_Price]],"NOT FOUND")</f>
        <v>38997</v>
      </c>
      <c r="T211">
        <f>IFERROR(RawSalesTable5[[#This Row],[Gross_Revenue]]*RawSalesTable5[[#This Row],[Discount_Pct]],"NOT FOUND")</f>
        <v>1949.8500000000001</v>
      </c>
      <c r="U211">
        <f>IFERROR(RawSalesTable5[[#This Row],[Gross_Revenue]]-RawSalesTable5[[#This Row],[Discount_Value]],"NOT FOUND")</f>
        <v>37047.15</v>
      </c>
      <c r="V211">
        <f>IFERROR(RawSalesTable5[[#This Row],[Quantity]]*RawSalesTable5[[#This Row],[Unit_Cost]],"NOT FOUND")</f>
        <v>27300</v>
      </c>
      <c r="W211">
        <f>IFERROR(RawSalesTable5[[#This Row],[Net_Revenue]]-RawSalesTable5[[#This Row],[Cost]],"NOT FOUND")</f>
        <v>9747.1500000000015</v>
      </c>
      <c r="X211" s="27">
        <f>IF(RawSalesTable5[[#This Row],[Lookup_Status]]="Missing Product","",IFERROR(RawSalesTable5[[#This Row],[Profit]]/RawSalesTable5[[#This Row],[Net_Revenue]],0))</f>
        <v>0.26310121021455096</v>
      </c>
      <c r="Y211">
        <f>RawSalesTable5[[#This Row],[Ship_Date]]-RawSalesTable5[[#This Row],[Order_Date]]</f>
        <v>4</v>
      </c>
      <c r="Z211" s="28">
        <f>DATE(YEAR(RawSalesTable5[[#This Row],[Order_Date]]),MONTH(RawSalesTable5[[#This Row],[Order_Date]]),1)</f>
        <v>45931</v>
      </c>
      <c r="AA211" t="str" cm="1">
        <f t="array" ref="AA211">IF(RawSalesTable5[[#This Row],[Lookup_Status]]="Missing Product","",_xlfn.IFS(RawSalesTable5[[#This Row],[Net_Revenue]]&gt;=20000,"High",RawSalesTable5[[#This Row],[Net_Revenue]]&gt;=10000,"Medium",TRUE,"Low"))</f>
        <v>High</v>
      </c>
    </row>
    <row r="212" spans="1:27">
      <c r="A212" t="s">
        <v>344</v>
      </c>
      <c r="B212" s="15">
        <v>45715</v>
      </c>
      <c r="C212" s="15">
        <v>45716</v>
      </c>
      <c r="D212" t="s">
        <v>83</v>
      </c>
      <c r="E212" t="s">
        <v>84</v>
      </c>
      <c r="F212" t="s">
        <v>124</v>
      </c>
      <c r="G212" t="s">
        <v>108</v>
      </c>
      <c r="H212" t="s">
        <v>103</v>
      </c>
      <c r="I212" s="17">
        <v>5</v>
      </c>
      <c r="J212" s="16">
        <v>0.1</v>
      </c>
      <c r="K212" t="s">
        <v>119</v>
      </c>
      <c r="L212" t="s">
        <v>89</v>
      </c>
      <c r="M212" s="17">
        <v>4</v>
      </c>
      <c r="N212" t="str" cm="1">
        <f t="array" ref="N212">_xlfn.XLOOKUP(RawSalesTable5[[#This Row],[Product_Code]],ProductLookupTable[[#All],[Product_Code]],ProductLookupTable[[#All],[Product_Name]],"NOT FOUND")</f>
        <v>Wireless Mouse</v>
      </c>
      <c r="O212" t="str" cm="1">
        <f t="array" ref="O212">_xlfn.XLOOKUP(RawSalesTable5[[#This Row],[Product_Code]],ProductLookupTable[[#All],[Product_Code]],ProductLookupTable[[#All],[Category]],"NOT FOUND")</f>
        <v>Accessories</v>
      </c>
      <c r="P212" cm="1">
        <f t="array" ref="P212">_xlfn.XLOOKUP(RawSalesTable5[[#This Row],[Product_Code]],ProductLookupTable[[#All],[Product_Code]],ProductLookupTable[[#All],[Unit_Price]],"NOT FOUND")</f>
        <v>799</v>
      </c>
      <c r="Q212" t="str">
        <f>IF(COUNTIF(ProductLookupTable[Product_Code],RawSalesTable5[[#This Row],[Product_Code]])=0,"Missing Product","OK")</f>
        <v>OK</v>
      </c>
      <c r="R212" cm="1">
        <f t="array" ref="R212">_xlfn.XLOOKUP(RawSalesTable5[[#This Row],[Product_Code]],ProductLookupTable[[#All],[Product_Code]],ProductLookupTable[[#All],[Unit_Cost]],"NOT FOUND")</f>
        <v>420</v>
      </c>
      <c r="S212">
        <f>IFERROR(RawSalesTable5[[#This Row],[Quantity]]*RawSalesTable5[[#This Row],[Unit_Price]],"NOT FOUND")</f>
        <v>3995</v>
      </c>
      <c r="T212">
        <f>IFERROR(RawSalesTable5[[#This Row],[Gross_Revenue]]*RawSalesTable5[[#This Row],[Discount_Pct]],"NOT FOUND")</f>
        <v>399.5</v>
      </c>
      <c r="U212">
        <f>IFERROR(RawSalesTable5[[#This Row],[Gross_Revenue]]-RawSalesTable5[[#This Row],[Discount_Value]],"NOT FOUND")</f>
        <v>3595.5</v>
      </c>
      <c r="V212">
        <f>IFERROR(RawSalesTable5[[#This Row],[Quantity]]*RawSalesTable5[[#This Row],[Unit_Cost]],"NOT FOUND")</f>
        <v>2100</v>
      </c>
      <c r="W212">
        <f>IFERROR(RawSalesTable5[[#This Row],[Net_Revenue]]-RawSalesTable5[[#This Row],[Cost]],"NOT FOUND")</f>
        <v>1495.5</v>
      </c>
      <c r="X212" s="27">
        <f>IF(RawSalesTable5[[#This Row],[Lookup_Status]]="Missing Product","",IFERROR(RawSalesTable5[[#This Row],[Profit]]/RawSalesTable5[[#This Row],[Net_Revenue]],0))</f>
        <v>0.41593658740091782</v>
      </c>
      <c r="Y212">
        <f>RawSalesTable5[[#This Row],[Ship_Date]]-RawSalesTable5[[#This Row],[Order_Date]]</f>
        <v>1</v>
      </c>
      <c r="Z212" s="28">
        <f>DATE(YEAR(RawSalesTable5[[#This Row],[Order_Date]]),MONTH(RawSalesTable5[[#This Row],[Order_Date]]),1)</f>
        <v>45689</v>
      </c>
      <c r="AA212" t="str" cm="1">
        <f t="array" ref="AA212">IF(RawSalesTable5[[#This Row],[Lookup_Status]]="Missing Product","",_xlfn.IFS(RawSalesTable5[[#This Row],[Net_Revenue]]&gt;=20000,"High",RawSalesTable5[[#This Row],[Net_Revenue]]&gt;=10000,"Medium",TRUE,"Low"))</f>
        <v>Low</v>
      </c>
    </row>
    <row r="213" spans="1:27">
      <c r="A213" t="s">
        <v>345</v>
      </c>
      <c r="B213" s="15">
        <v>45906</v>
      </c>
      <c r="C213" s="15">
        <v>45910</v>
      </c>
      <c r="D213" t="s">
        <v>114</v>
      </c>
      <c r="E213" t="s">
        <v>92</v>
      </c>
      <c r="F213" t="s">
        <v>138</v>
      </c>
      <c r="G213" t="s">
        <v>94</v>
      </c>
      <c r="H213" t="s">
        <v>103</v>
      </c>
      <c r="I213" s="17">
        <v>5</v>
      </c>
      <c r="J213" s="16">
        <v>0.15</v>
      </c>
      <c r="K213" t="s">
        <v>88</v>
      </c>
      <c r="L213" t="s">
        <v>89</v>
      </c>
      <c r="M213" s="17">
        <v>4</v>
      </c>
      <c r="N213" t="str" cm="1">
        <f t="array" ref="N213">_xlfn.XLOOKUP(RawSalesTable5[[#This Row],[Product_Code]],ProductLookupTable[[#All],[Product_Code]],ProductLookupTable[[#All],[Product_Name]],"NOT FOUND")</f>
        <v>24-inch Monitor</v>
      </c>
      <c r="O213" t="str" cm="1">
        <f t="array" ref="O213">_xlfn.XLOOKUP(RawSalesTable5[[#This Row],[Product_Code]],ProductLookupTable[[#All],[Product_Code]],ProductLookupTable[[#All],[Category]],"NOT FOUND")</f>
        <v>Displays</v>
      </c>
      <c r="P213" cm="1">
        <f t="array" ref="P213">_xlfn.XLOOKUP(RawSalesTable5[[#This Row],[Product_Code]],ProductLookupTable[[#All],[Product_Code]],ProductLookupTable[[#All],[Unit_Price]],"NOT FOUND")</f>
        <v>12999</v>
      </c>
      <c r="Q213" t="str">
        <f>IF(COUNTIF(ProductLookupTable[Product_Code],RawSalesTable5[[#This Row],[Product_Code]])=0,"Missing Product","OK")</f>
        <v>OK</v>
      </c>
      <c r="R213" cm="1">
        <f t="array" ref="R213">_xlfn.XLOOKUP(RawSalesTable5[[#This Row],[Product_Code]],ProductLookupTable[[#All],[Product_Code]],ProductLookupTable[[#All],[Unit_Cost]],"NOT FOUND")</f>
        <v>9100</v>
      </c>
      <c r="S213">
        <f>IFERROR(RawSalesTable5[[#This Row],[Quantity]]*RawSalesTable5[[#This Row],[Unit_Price]],"NOT FOUND")</f>
        <v>64995</v>
      </c>
      <c r="T213">
        <f>IFERROR(RawSalesTable5[[#This Row],[Gross_Revenue]]*RawSalesTable5[[#This Row],[Discount_Pct]],"NOT FOUND")</f>
        <v>9749.25</v>
      </c>
      <c r="U213">
        <f>IFERROR(RawSalesTable5[[#This Row],[Gross_Revenue]]-RawSalesTable5[[#This Row],[Discount_Value]],"NOT FOUND")</f>
        <v>55245.75</v>
      </c>
      <c r="V213">
        <f>IFERROR(RawSalesTable5[[#This Row],[Quantity]]*RawSalesTable5[[#This Row],[Unit_Cost]],"NOT FOUND")</f>
        <v>45500</v>
      </c>
      <c r="W213">
        <f>IFERROR(RawSalesTable5[[#This Row],[Net_Revenue]]-RawSalesTable5[[#This Row],[Cost]],"NOT FOUND")</f>
        <v>9745.75</v>
      </c>
      <c r="X213" s="27">
        <f>IF(RawSalesTable5[[#This Row],[Lookup_Status]]="Missing Product","",IFERROR(RawSalesTable5[[#This Row],[Profit]]/RawSalesTable5[[#This Row],[Net_Revenue]],0))</f>
        <v>0.17640723494567456</v>
      </c>
      <c r="Y213">
        <f>RawSalesTable5[[#This Row],[Ship_Date]]-RawSalesTable5[[#This Row],[Order_Date]]</f>
        <v>4</v>
      </c>
      <c r="Z213" s="28">
        <f>DATE(YEAR(RawSalesTable5[[#This Row],[Order_Date]]),MONTH(RawSalesTable5[[#This Row],[Order_Date]]),1)</f>
        <v>45901</v>
      </c>
      <c r="AA213" t="str" cm="1">
        <f t="array" ref="AA213">IF(RawSalesTable5[[#This Row],[Lookup_Status]]="Missing Product","",_xlfn.IFS(RawSalesTable5[[#This Row],[Net_Revenue]]&gt;=20000,"High",RawSalesTable5[[#This Row],[Net_Revenue]]&gt;=10000,"Medium",TRUE,"Low"))</f>
        <v>High</v>
      </c>
    </row>
    <row r="214" spans="1:27">
      <c r="A214" t="s">
        <v>346</v>
      </c>
      <c r="B214" s="15">
        <v>45829</v>
      </c>
      <c r="C214" s="15">
        <v>45830</v>
      </c>
      <c r="D214" t="s">
        <v>157</v>
      </c>
      <c r="E214" t="s">
        <v>98</v>
      </c>
      <c r="F214" t="s">
        <v>121</v>
      </c>
      <c r="G214" t="s">
        <v>125</v>
      </c>
      <c r="H214" t="s">
        <v>87</v>
      </c>
      <c r="I214" s="17">
        <v>5</v>
      </c>
      <c r="J214" s="16">
        <v>0</v>
      </c>
      <c r="K214" t="s">
        <v>140</v>
      </c>
      <c r="L214" t="s">
        <v>89</v>
      </c>
      <c r="M214" s="17">
        <v>3</v>
      </c>
      <c r="N214" t="str" cm="1">
        <f t="array" ref="N214">_xlfn.XLOOKUP(RawSalesTable5[[#This Row],[Product_Code]],ProductLookupTable[[#All],[Product_Code]],ProductLookupTable[[#All],[Product_Name]],"NOT FOUND")</f>
        <v>HD Webcam</v>
      </c>
      <c r="O214" t="str" cm="1">
        <f t="array" ref="O214">_xlfn.XLOOKUP(RawSalesTable5[[#This Row],[Product_Code]],ProductLookupTable[[#All],[Product_Code]],ProductLookupTable[[#All],[Category]],"NOT FOUND")</f>
        <v>Accessories</v>
      </c>
      <c r="P214" cm="1">
        <f t="array" ref="P214">_xlfn.XLOOKUP(RawSalesTable5[[#This Row],[Product_Code]],ProductLookupTable[[#All],[Product_Code]],ProductLookupTable[[#All],[Unit_Price]],"NOT FOUND")</f>
        <v>2899</v>
      </c>
      <c r="Q214" t="str">
        <f>IF(COUNTIF(ProductLookupTable[Product_Code],RawSalesTable5[[#This Row],[Product_Code]])=0,"Missing Product","OK")</f>
        <v>OK</v>
      </c>
      <c r="R214" cm="1">
        <f t="array" ref="R214">_xlfn.XLOOKUP(RawSalesTable5[[#This Row],[Product_Code]],ProductLookupTable[[#All],[Product_Code]],ProductLookupTable[[#All],[Unit_Cost]],"NOT FOUND")</f>
        <v>1700</v>
      </c>
      <c r="S214">
        <f>IFERROR(RawSalesTable5[[#This Row],[Quantity]]*RawSalesTable5[[#This Row],[Unit_Price]],"NOT FOUND")</f>
        <v>14495</v>
      </c>
      <c r="T214">
        <f>IFERROR(RawSalesTable5[[#This Row],[Gross_Revenue]]*RawSalesTable5[[#This Row],[Discount_Pct]],"NOT FOUND")</f>
        <v>0</v>
      </c>
      <c r="U214">
        <f>IFERROR(RawSalesTable5[[#This Row],[Gross_Revenue]]-RawSalesTable5[[#This Row],[Discount_Value]],"NOT FOUND")</f>
        <v>14495</v>
      </c>
      <c r="V214">
        <f>IFERROR(RawSalesTable5[[#This Row],[Quantity]]*RawSalesTable5[[#This Row],[Unit_Cost]],"NOT FOUND")</f>
        <v>8500</v>
      </c>
      <c r="W214">
        <f>IFERROR(RawSalesTable5[[#This Row],[Net_Revenue]]-RawSalesTable5[[#This Row],[Cost]],"NOT FOUND")</f>
        <v>5995</v>
      </c>
      <c r="X214" s="27">
        <f>IF(RawSalesTable5[[#This Row],[Lookup_Status]]="Missing Product","",IFERROR(RawSalesTable5[[#This Row],[Profit]]/RawSalesTable5[[#This Row],[Net_Revenue]],0))</f>
        <v>0.41359089341152122</v>
      </c>
      <c r="Y214">
        <f>RawSalesTable5[[#This Row],[Ship_Date]]-RawSalesTable5[[#This Row],[Order_Date]]</f>
        <v>1</v>
      </c>
      <c r="Z214" s="28">
        <f>DATE(YEAR(RawSalesTable5[[#This Row],[Order_Date]]),MONTH(RawSalesTable5[[#This Row],[Order_Date]]),1)</f>
        <v>45809</v>
      </c>
      <c r="AA214" t="str" cm="1">
        <f t="array" ref="AA214">IF(RawSalesTable5[[#This Row],[Lookup_Status]]="Missing Product","",_xlfn.IFS(RawSalesTable5[[#This Row],[Net_Revenue]]&gt;=20000,"High",RawSalesTable5[[#This Row],[Net_Revenue]]&gt;=10000,"Medium",TRUE,"Low"))</f>
        <v>Medium</v>
      </c>
    </row>
    <row r="215" spans="1:27">
      <c r="A215" t="s">
        <v>347</v>
      </c>
      <c r="B215" s="15">
        <v>45921</v>
      </c>
      <c r="C215" s="15">
        <v>45928</v>
      </c>
      <c r="D215" t="s">
        <v>212</v>
      </c>
      <c r="E215" t="s">
        <v>101</v>
      </c>
      <c r="F215" t="s">
        <v>138</v>
      </c>
      <c r="G215" t="s">
        <v>125</v>
      </c>
      <c r="H215" t="s">
        <v>87</v>
      </c>
      <c r="I215" s="17">
        <v>3</v>
      </c>
      <c r="J215" s="16">
        <v>0.15</v>
      </c>
      <c r="K215" t="s">
        <v>140</v>
      </c>
      <c r="L215" t="s">
        <v>89</v>
      </c>
      <c r="M215" s="17">
        <v>4</v>
      </c>
      <c r="N215" t="str" cm="1">
        <f t="array" ref="N215">_xlfn.XLOOKUP(RawSalesTable5[[#This Row],[Product_Code]],ProductLookupTable[[#All],[Product_Code]],ProductLookupTable[[#All],[Product_Name]],"NOT FOUND")</f>
        <v>24-inch Monitor</v>
      </c>
      <c r="O215" t="str" cm="1">
        <f t="array" ref="O215">_xlfn.XLOOKUP(RawSalesTable5[[#This Row],[Product_Code]],ProductLookupTable[[#All],[Product_Code]],ProductLookupTable[[#All],[Category]],"NOT FOUND")</f>
        <v>Displays</v>
      </c>
      <c r="P215" cm="1">
        <f t="array" ref="P215">_xlfn.XLOOKUP(RawSalesTable5[[#This Row],[Product_Code]],ProductLookupTable[[#All],[Product_Code]],ProductLookupTable[[#All],[Unit_Price]],"NOT FOUND")</f>
        <v>12999</v>
      </c>
      <c r="Q215" t="str">
        <f>IF(COUNTIF(ProductLookupTable[Product_Code],RawSalesTable5[[#This Row],[Product_Code]])=0,"Missing Product","OK")</f>
        <v>OK</v>
      </c>
      <c r="R215" cm="1">
        <f t="array" ref="R215">_xlfn.XLOOKUP(RawSalesTable5[[#This Row],[Product_Code]],ProductLookupTable[[#All],[Product_Code]],ProductLookupTable[[#All],[Unit_Cost]],"NOT FOUND")</f>
        <v>9100</v>
      </c>
      <c r="S215">
        <f>IFERROR(RawSalesTable5[[#This Row],[Quantity]]*RawSalesTable5[[#This Row],[Unit_Price]],"NOT FOUND")</f>
        <v>38997</v>
      </c>
      <c r="T215">
        <f>IFERROR(RawSalesTable5[[#This Row],[Gross_Revenue]]*RawSalesTable5[[#This Row],[Discount_Pct]],"NOT FOUND")</f>
        <v>5849.55</v>
      </c>
      <c r="U215">
        <f>IFERROR(RawSalesTable5[[#This Row],[Gross_Revenue]]-RawSalesTable5[[#This Row],[Discount_Value]],"NOT FOUND")</f>
        <v>33147.449999999997</v>
      </c>
      <c r="V215">
        <f>IFERROR(RawSalesTable5[[#This Row],[Quantity]]*RawSalesTable5[[#This Row],[Unit_Cost]],"NOT FOUND")</f>
        <v>27300</v>
      </c>
      <c r="W215">
        <f>IFERROR(RawSalesTable5[[#This Row],[Net_Revenue]]-RawSalesTable5[[#This Row],[Cost]],"NOT FOUND")</f>
        <v>5847.4499999999971</v>
      </c>
      <c r="X215" s="27">
        <f>IF(RawSalesTable5[[#This Row],[Lookup_Status]]="Missing Product","",IFERROR(RawSalesTable5[[#This Row],[Profit]]/RawSalesTable5[[#This Row],[Net_Revenue]],0))</f>
        <v>0.17640723494567448</v>
      </c>
      <c r="Y215">
        <f>RawSalesTable5[[#This Row],[Ship_Date]]-RawSalesTable5[[#This Row],[Order_Date]]</f>
        <v>7</v>
      </c>
      <c r="Z215" s="28">
        <f>DATE(YEAR(RawSalesTable5[[#This Row],[Order_Date]]),MONTH(RawSalesTable5[[#This Row],[Order_Date]]),1)</f>
        <v>45901</v>
      </c>
      <c r="AA215" t="str" cm="1">
        <f t="array" ref="AA215">IF(RawSalesTable5[[#This Row],[Lookup_Status]]="Missing Product","",_xlfn.IFS(RawSalesTable5[[#This Row],[Net_Revenue]]&gt;=20000,"High",RawSalesTable5[[#This Row],[Net_Revenue]]&gt;=10000,"Medium",TRUE,"Low"))</f>
        <v>High</v>
      </c>
    </row>
    <row r="216" spans="1:27">
      <c r="A216" t="s">
        <v>348</v>
      </c>
      <c r="B216" s="15">
        <v>45923</v>
      </c>
      <c r="C216" s="15">
        <v>45931</v>
      </c>
      <c r="D216" t="s">
        <v>123</v>
      </c>
      <c r="E216" t="s">
        <v>106</v>
      </c>
      <c r="F216" t="s">
        <v>118</v>
      </c>
      <c r="G216" t="s">
        <v>108</v>
      </c>
      <c r="H216" t="s">
        <v>103</v>
      </c>
      <c r="I216" s="17">
        <v>3</v>
      </c>
      <c r="J216" s="16">
        <v>0</v>
      </c>
      <c r="K216" t="s">
        <v>140</v>
      </c>
      <c r="L216" t="s">
        <v>89</v>
      </c>
      <c r="M216" s="17">
        <v>4</v>
      </c>
      <c r="N216" t="str" cm="1">
        <f t="array" ref="N216">_xlfn.XLOOKUP(RawSalesTable5[[#This Row],[Product_Code]],ProductLookupTable[[#All],[Product_Code]],ProductLookupTable[[#All],[Product_Name]],"NOT FOUND")</f>
        <v>Mechanical Keyboard</v>
      </c>
      <c r="O216" t="str" cm="1">
        <f t="array" ref="O216">_xlfn.XLOOKUP(RawSalesTable5[[#This Row],[Product_Code]],ProductLookupTable[[#All],[Product_Code]],ProductLookupTable[[#All],[Category]],"NOT FOUND")</f>
        <v>Accessories</v>
      </c>
      <c r="P216" cm="1">
        <f t="array" ref="P216">_xlfn.XLOOKUP(RawSalesTable5[[#This Row],[Product_Code]],ProductLookupTable[[#All],[Product_Code]],ProductLookupTable[[#All],[Unit_Price]],"NOT FOUND")</f>
        <v>2499</v>
      </c>
      <c r="Q216" t="str">
        <f>IF(COUNTIF(ProductLookupTable[Product_Code],RawSalesTable5[[#This Row],[Product_Code]])=0,"Missing Product","OK")</f>
        <v>OK</v>
      </c>
      <c r="R216" cm="1">
        <f t="array" ref="R216">_xlfn.XLOOKUP(RawSalesTable5[[#This Row],[Product_Code]],ProductLookupTable[[#All],[Product_Code]],ProductLookupTable[[#All],[Unit_Cost]],"NOT FOUND")</f>
        <v>1450</v>
      </c>
      <c r="S216">
        <f>IFERROR(RawSalesTable5[[#This Row],[Quantity]]*RawSalesTable5[[#This Row],[Unit_Price]],"NOT FOUND")</f>
        <v>7497</v>
      </c>
      <c r="T216">
        <f>IFERROR(RawSalesTable5[[#This Row],[Gross_Revenue]]*RawSalesTable5[[#This Row],[Discount_Pct]],"NOT FOUND")</f>
        <v>0</v>
      </c>
      <c r="U216">
        <f>IFERROR(RawSalesTable5[[#This Row],[Gross_Revenue]]-RawSalesTable5[[#This Row],[Discount_Value]],"NOT FOUND")</f>
        <v>7497</v>
      </c>
      <c r="V216">
        <f>IFERROR(RawSalesTable5[[#This Row],[Quantity]]*RawSalesTable5[[#This Row],[Unit_Cost]],"NOT FOUND")</f>
        <v>4350</v>
      </c>
      <c r="W216">
        <f>IFERROR(RawSalesTable5[[#This Row],[Net_Revenue]]-RawSalesTable5[[#This Row],[Cost]],"NOT FOUND")</f>
        <v>3147</v>
      </c>
      <c r="X216" s="27">
        <f>IF(RawSalesTable5[[#This Row],[Lookup_Status]]="Missing Product","",IFERROR(RawSalesTable5[[#This Row],[Profit]]/RawSalesTable5[[#This Row],[Net_Revenue]],0))</f>
        <v>0.41976790716286516</v>
      </c>
      <c r="Y216">
        <f>RawSalesTable5[[#This Row],[Ship_Date]]-RawSalesTable5[[#This Row],[Order_Date]]</f>
        <v>8</v>
      </c>
      <c r="Z216" s="28">
        <f>DATE(YEAR(RawSalesTable5[[#This Row],[Order_Date]]),MONTH(RawSalesTable5[[#This Row],[Order_Date]]),1)</f>
        <v>45901</v>
      </c>
      <c r="AA216" t="str" cm="1">
        <f t="array" ref="AA216">IF(RawSalesTable5[[#This Row],[Lookup_Status]]="Missing Product","",_xlfn.IFS(RawSalesTable5[[#This Row],[Net_Revenue]]&gt;=20000,"High",RawSalesTable5[[#This Row],[Net_Revenue]]&gt;=10000,"Medium",TRUE,"Low"))</f>
        <v>Low</v>
      </c>
    </row>
    <row r="217" spans="1:27">
      <c r="A217" t="s">
        <v>349</v>
      </c>
      <c r="B217" s="15">
        <v>45767</v>
      </c>
      <c r="C217" s="15">
        <v>45768</v>
      </c>
      <c r="D217" t="s">
        <v>83</v>
      </c>
      <c r="E217" t="s">
        <v>111</v>
      </c>
      <c r="F217" t="s">
        <v>93</v>
      </c>
      <c r="G217" t="s">
        <v>125</v>
      </c>
      <c r="H217" t="s">
        <v>103</v>
      </c>
      <c r="I217" s="17">
        <v>2</v>
      </c>
      <c r="J217" s="16">
        <v>0</v>
      </c>
      <c r="K217" t="s">
        <v>112</v>
      </c>
      <c r="L217" t="s">
        <v>89</v>
      </c>
      <c r="M217" s="17">
        <v>5</v>
      </c>
      <c r="N217" t="str" cm="1">
        <f t="array" ref="N217">_xlfn.XLOOKUP(RawSalesTable5[[#This Row],[Product_Code]],ProductLookupTable[[#All],[Product_Code]],ProductLookupTable[[#All],[Product_Name]],"NOT FOUND")</f>
        <v>Wireless Headset</v>
      </c>
      <c r="O217" t="str" cm="1">
        <f t="array" ref="O217">_xlfn.XLOOKUP(RawSalesTable5[[#This Row],[Product_Code]],ProductLookupTable[[#All],[Product_Code]],ProductLookupTable[[#All],[Category]],"NOT FOUND")</f>
        <v>Audio</v>
      </c>
      <c r="P217" cm="1">
        <f t="array" ref="P217">_xlfn.XLOOKUP(RawSalesTable5[[#This Row],[Product_Code]],ProductLookupTable[[#All],[Product_Code]],ProductLookupTable[[#All],[Unit_Price]],"NOT FOUND")</f>
        <v>3499</v>
      </c>
      <c r="Q217" t="str">
        <f>IF(COUNTIF(ProductLookupTable[Product_Code],RawSalesTable5[[#This Row],[Product_Code]])=0,"Missing Product","OK")</f>
        <v>OK</v>
      </c>
      <c r="R217" cm="1">
        <f t="array" ref="R217">_xlfn.XLOOKUP(RawSalesTable5[[#This Row],[Product_Code]],ProductLookupTable[[#All],[Product_Code]],ProductLookupTable[[#All],[Unit_Cost]],"NOT FOUND")</f>
        <v>2100</v>
      </c>
      <c r="S217">
        <f>IFERROR(RawSalesTable5[[#This Row],[Quantity]]*RawSalesTable5[[#This Row],[Unit_Price]],"NOT FOUND")</f>
        <v>6998</v>
      </c>
      <c r="T217">
        <f>IFERROR(RawSalesTable5[[#This Row],[Gross_Revenue]]*RawSalesTable5[[#This Row],[Discount_Pct]],"NOT FOUND")</f>
        <v>0</v>
      </c>
      <c r="U217">
        <f>IFERROR(RawSalesTable5[[#This Row],[Gross_Revenue]]-RawSalesTable5[[#This Row],[Discount_Value]],"NOT FOUND")</f>
        <v>6998</v>
      </c>
      <c r="V217">
        <f>IFERROR(RawSalesTable5[[#This Row],[Quantity]]*RawSalesTable5[[#This Row],[Unit_Cost]],"NOT FOUND")</f>
        <v>4200</v>
      </c>
      <c r="W217">
        <f>IFERROR(RawSalesTable5[[#This Row],[Net_Revenue]]-RawSalesTable5[[#This Row],[Cost]],"NOT FOUND")</f>
        <v>2798</v>
      </c>
      <c r="X217" s="27">
        <f>IF(RawSalesTable5[[#This Row],[Lookup_Status]]="Missing Product","",IFERROR(RawSalesTable5[[#This Row],[Profit]]/RawSalesTable5[[#This Row],[Net_Revenue]],0))</f>
        <v>0.3998285224349814</v>
      </c>
      <c r="Y217">
        <f>RawSalesTable5[[#This Row],[Ship_Date]]-RawSalesTable5[[#This Row],[Order_Date]]</f>
        <v>1</v>
      </c>
      <c r="Z217" s="28">
        <f>DATE(YEAR(RawSalesTable5[[#This Row],[Order_Date]]),MONTH(RawSalesTable5[[#This Row],[Order_Date]]),1)</f>
        <v>45748</v>
      </c>
      <c r="AA217" t="str" cm="1">
        <f t="array" ref="AA217">IF(RawSalesTable5[[#This Row],[Lookup_Status]]="Missing Product","",_xlfn.IFS(RawSalesTable5[[#This Row],[Net_Revenue]]&gt;=20000,"High",RawSalesTable5[[#This Row],[Net_Revenue]]&gt;=10000,"Medium",TRUE,"Low"))</f>
        <v>Low</v>
      </c>
    </row>
    <row r="218" spans="1:27">
      <c r="A218" t="s">
        <v>350</v>
      </c>
      <c r="B218" s="15">
        <v>45992</v>
      </c>
      <c r="C218" s="15">
        <v>45996</v>
      </c>
      <c r="D218" t="s">
        <v>114</v>
      </c>
      <c r="E218" t="s">
        <v>84</v>
      </c>
      <c r="F218" t="s">
        <v>102</v>
      </c>
      <c r="G218" t="s">
        <v>86</v>
      </c>
      <c r="H218" t="s">
        <v>103</v>
      </c>
      <c r="I218" s="17">
        <v>3</v>
      </c>
      <c r="J218" s="16">
        <v>0.2</v>
      </c>
      <c r="K218" t="s">
        <v>88</v>
      </c>
      <c r="L218" t="s">
        <v>126</v>
      </c>
      <c r="M218" s="17">
        <v>3</v>
      </c>
      <c r="N218" t="str" cm="1">
        <f t="array" ref="N218">_xlfn.XLOOKUP(RawSalesTable5[[#This Row],[Product_Code]],ProductLookupTable[[#All],[Product_Code]],ProductLookupTable[[#All],[Product_Name]],"NOT FOUND")</f>
        <v>SSD 1TB</v>
      </c>
      <c r="O218" t="str" cm="1">
        <f t="array" ref="O218">_xlfn.XLOOKUP(RawSalesTable5[[#This Row],[Product_Code]],ProductLookupTable[[#All],[Product_Code]],ProductLookupTable[[#All],[Category]],"NOT FOUND")</f>
        <v>Storage</v>
      </c>
      <c r="P218" cm="1">
        <f t="array" ref="P218">_xlfn.XLOOKUP(RawSalesTable5[[#This Row],[Product_Code]],ProductLookupTable[[#All],[Product_Code]],ProductLookupTable[[#All],[Unit_Price]],"NOT FOUND")</f>
        <v>6999</v>
      </c>
      <c r="Q218" t="str">
        <f>IF(COUNTIF(ProductLookupTable[Product_Code],RawSalesTable5[[#This Row],[Product_Code]])=0,"Missing Product","OK")</f>
        <v>OK</v>
      </c>
      <c r="R218" cm="1">
        <f t="array" ref="R218">_xlfn.XLOOKUP(RawSalesTable5[[#This Row],[Product_Code]],ProductLookupTable[[#All],[Product_Code]],ProductLookupTable[[#All],[Unit_Cost]],"NOT FOUND")</f>
        <v>4900</v>
      </c>
      <c r="S218">
        <f>IFERROR(RawSalesTable5[[#This Row],[Quantity]]*RawSalesTable5[[#This Row],[Unit_Price]],"NOT FOUND")</f>
        <v>20997</v>
      </c>
      <c r="T218">
        <f>IFERROR(RawSalesTable5[[#This Row],[Gross_Revenue]]*RawSalesTable5[[#This Row],[Discount_Pct]],"NOT FOUND")</f>
        <v>4199.4000000000005</v>
      </c>
      <c r="U218">
        <f>IFERROR(RawSalesTable5[[#This Row],[Gross_Revenue]]-RawSalesTable5[[#This Row],[Discount_Value]],"NOT FOUND")</f>
        <v>16797.599999999999</v>
      </c>
      <c r="V218">
        <f>IFERROR(RawSalesTable5[[#This Row],[Quantity]]*RawSalesTable5[[#This Row],[Unit_Cost]],"NOT FOUND")</f>
        <v>14700</v>
      </c>
      <c r="W218">
        <f>IFERROR(RawSalesTable5[[#This Row],[Net_Revenue]]-RawSalesTable5[[#This Row],[Cost]],"NOT FOUND")</f>
        <v>2097.5999999999985</v>
      </c>
      <c r="X218" s="27">
        <f>IF(RawSalesTable5[[#This Row],[Lookup_Status]]="Missing Product","",IFERROR(RawSalesTable5[[#This Row],[Profit]]/RawSalesTable5[[#This Row],[Net_Revenue]],0))</f>
        <v>0.12487498214030568</v>
      </c>
      <c r="Y218">
        <f>RawSalesTable5[[#This Row],[Ship_Date]]-RawSalesTable5[[#This Row],[Order_Date]]</f>
        <v>4</v>
      </c>
      <c r="Z218" s="28">
        <f>DATE(YEAR(RawSalesTable5[[#This Row],[Order_Date]]),MONTH(RawSalesTable5[[#This Row],[Order_Date]]),1)</f>
        <v>45992</v>
      </c>
      <c r="AA218" t="str" cm="1">
        <f t="array" ref="AA218">IF(RawSalesTable5[[#This Row],[Lookup_Status]]="Missing Product","",_xlfn.IFS(RawSalesTable5[[#This Row],[Net_Revenue]]&gt;=20000,"High",RawSalesTable5[[#This Row],[Net_Revenue]]&gt;=10000,"Medium",TRUE,"Low"))</f>
        <v>Medium</v>
      </c>
    </row>
    <row r="219" spans="1:27">
      <c r="A219" t="s">
        <v>351</v>
      </c>
      <c r="B219" s="15">
        <v>45968</v>
      </c>
      <c r="C219" s="15">
        <v>45975</v>
      </c>
      <c r="D219" t="s">
        <v>157</v>
      </c>
      <c r="E219" t="s">
        <v>92</v>
      </c>
      <c r="F219" t="s">
        <v>107</v>
      </c>
      <c r="G219" t="s">
        <v>86</v>
      </c>
      <c r="H219" t="s">
        <v>86</v>
      </c>
      <c r="I219" s="17">
        <v>5</v>
      </c>
      <c r="J219" s="16">
        <v>0.2</v>
      </c>
      <c r="K219" t="s">
        <v>140</v>
      </c>
      <c r="L219" t="s">
        <v>89</v>
      </c>
      <c r="M219" s="17">
        <v>4</v>
      </c>
      <c r="N219" t="str" cm="1">
        <f t="array" ref="N219">_xlfn.XLOOKUP(RawSalesTable5[[#This Row],[Product_Code]],ProductLookupTable[[#All],[Product_Code]],ProductLookupTable[[#All],[Product_Name]],"NOT FOUND")</f>
        <v>Bluetooth Speaker</v>
      </c>
      <c r="O219" t="str" cm="1">
        <f t="array" ref="O219">_xlfn.XLOOKUP(RawSalesTable5[[#This Row],[Product_Code]],ProductLookupTable[[#All],[Product_Code]],ProductLookupTable[[#All],[Category]],"NOT FOUND")</f>
        <v>Audio</v>
      </c>
      <c r="P219" cm="1">
        <f t="array" ref="P219">_xlfn.XLOOKUP(RawSalesTable5[[#This Row],[Product_Code]],ProductLookupTable[[#All],[Product_Code]],ProductLookupTable[[#All],[Unit_Price]],"NOT FOUND")</f>
        <v>2799</v>
      </c>
      <c r="Q219" t="str">
        <f>IF(COUNTIF(ProductLookupTable[Product_Code],RawSalesTable5[[#This Row],[Product_Code]])=0,"Missing Product","OK")</f>
        <v>OK</v>
      </c>
      <c r="R219" cm="1">
        <f t="array" ref="R219">_xlfn.XLOOKUP(RawSalesTable5[[#This Row],[Product_Code]],ProductLookupTable[[#All],[Product_Code]],ProductLookupTable[[#All],[Unit_Cost]],"NOT FOUND")</f>
        <v>1650</v>
      </c>
      <c r="S219">
        <f>IFERROR(RawSalesTable5[[#This Row],[Quantity]]*RawSalesTable5[[#This Row],[Unit_Price]],"NOT FOUND")</f>
        <v>13995</v>
      </c>
      <c r="T219">
        <f>IFERROR(RawSalesTable5[[#This Row],[Gross_Revenue]]*RawSalesTable5[[#This Row],[Discount_Pct]],"NOT FOUND")</f>
        <v>2799</v>
      </c>
      <c r="U219">
        <f>IFERROR(RawSalesTable5[[#This Row],[Gross_Revenue]]-RawSalesTable5[[#This Row],[Discount_Value]],"NOT FOUND")</f>
        <v>11196</v>
      </c>
      <c r="V219">
        <f>IFERROR(RawSalesTable5[[#This Row],[Quantity]]*RawSalesTable5[[#This Row],[Unit_Cost]],"NOT FOUND")</f>
        <v>8250</v>
      </c>
      <c r="W219">
        <f>IFERROR(RawSalesTable5[[#This Row],[Net_Revenue]]-RawSalesTable5[[#This Row],[Cost]],"NOT FOUND")</f>
        <v>2946</v>
      </c>
      <c r="X219" s="27">
        <f>IF(RawSalesTable5[[#This Row],[Lookup_Status]]="Missing Product","",IFERROR(RawSalesTable5[[#This Row],[Profit]]/RawSalesTable5[[#This Row],[Net_Revenue]],0))</f>
        <v>0.26312968917470525</v>
      </c>
      <c r="Y219">
        <f>RawSalesTable5[[#This Row],[Ship_Date]]-RawSalesTable5[[#This Row],[Order_Date]]</f>
        <v>7</v>
      </c>
      <c r="Z219" s="28">
        <f>DATE(YEAR(RawSalesTable5[[#This Row],[Order_Date]]),MONTH(RawSalesTable5[[#This Row],[Order_Date]]),1)</f>
        <v>45962</v>
      </c>
      <c r="AA219" t="str" cm="1">
        <f t="array" ref="AA219">IF(RawSalesTable5[[#This Row],[Lookup_Status]]="Missing Product","",_xlfn.IFS(RawSalesTable5[[#This Row],[Net_Revenue]]&gt;=20000,"High",RawSalesTable5[[#This Row],[Net_Revenue]]&gt;=10000,"Medium",TRUE,"Low"))</f>
        <v>Medium</v>
      </c>
    </row>
    <row r="220" spans="1:27">
      <c r="A220" t="s">
        <v>352</v>
      </c>
      <c r="B220" s="15">
        <v>45677</v>
      </c>
      <c r="C220" s="15">
        <v>45685</v>
      </c>
      <c r="D220" t="s">
        <v>212</v>
      </c>
      <c r="E220" t="s">
        <v>98</v>
      </c>
      <c r="F220" t="s">
        <v>154</v>
      </c>
      <c r="G220" t="s">
        <v>125</v>
      </c>
      <c r="H220" t="s">
        <v>86</v>
      </c>
      <c r="I220" s="17">
        <v>2</v>
      </c>
      <c r="J220" s="16">
        <v>0.2</v>
      </c>
      <c r="K220" t="s">
        <v>88</v>
      </c>
      <c r="L220" t="s">
        <v>89</v>
      </c>
      <c r="M220" s="17">
        <v>4</v>
      </c>
      <c r="N220" t="str" cm="1">
        <f t="array" ref="N220">_xlfn.XLOOKUP(RawSalesTable5[[#This Row],[Product_Code]],ProductLookupTable[[#All],[Product_Code]],ProductLookupTable[[#All],[Product_Name]],"NOT FOUND")</f>
        <v>Laptop Stand</v>
      </c>
      <c r="O220" t="str" cm="1">
        <f t="array" ref="O220">_xlfn.XLOOKUP(RawSalesTable5[[#This Row],[Product_Code]],ProductLookupTable[[#All],[Product_Code]],ProductLookupTable[[#All],[Category]],"NOT FOUND")</f>
        <v>Accessories</v>
      </c>
      <c r="P220" cm="1">
        <f t="array" ref="P220">_xlfn.XLOOKUP(RawSalesTable5[[#This Row],[Product_Code]],ProductLookupTable[[#All],[Product_Code]],ProductLookupTable[[#All],[Unit_Price]],"NOT FOUND")</f>
        <v>1899</v>
      </c>
      <c r="Q220" t="str">
        <f>IF(COUNTIF(ProductLookupTable[Product_Code],RawSalesTable5[[#This Row],[Product_Code]])=0,"Missing Product","OK")</f>
        <v>OK</v>
      </c>
      <c r="R220" cm="1">
        <f t="array" ref="R220">_xlfn.XLOOKUP(RawSalesTable5[[#This Row],[Product_Code]],ProductLookupTable[[#All],[Product_Code]],ProductLookupTable[[#All],[Unit_Cost]],"NOT FOUND")</f>
        <v>980</v>
      </c>
      <c r="S220">
        <f>IFERROR(RawSalesTable5[[#This Row],[Quantity]]*RawSalesTable5[[#This Row],[Unit_Price]],"NOT FOUND")</f>
        <v>3798</v>
      </c>
      <c r="T220">
        <f>IFERROR(RawSalesTable5[[#This Row],[Gross_Revenue]]*RawSalesTable5[[#This Row],[Discount_Pct]],"NOT FOUND")</f>
        <v>759.6</v>
      </c>
      <c r="U220">
        <f>IFERROR(RawSalesTable5[[#This Row],[Gross_Revenue]]-RawSalesTable5[[#This Row],[Discount_Value]],"NOT FOUND")</f>
        <v>3038.4</v>
      </c>
      <c r="V220">
        <f>IFERROR(RawSalesTable5[[#This Row],[Quantity]]*RawSalesTable5[[#This Row],[Unit_Cost]],"NOT FOUND")</f>
        <v>1960</v>
      </c>
      <c r="W220">
        <f>IFERROR(RawSalesTable5[[#This Row],[Net_Revenue]]-RawSalesTable5[[#This Row],[Cost]],"NOT FOUND")</f>
        <v>1078.4000000000001</v>
      </c>
      <c r="X220" s="27">
        <f>IF(RawSalesTable5[[#This Row],[Lookup_Status]]="Missing Product","",IFERROR(RawSalesTable5[[#This Row],[Profit]]/RawSalesTable5[[#This Row],[Net_Revenue]],0))</f>
        <v>0.35492364402317012</v>
      </c>
      <c r="Y220">
        <f>RawSalesTable5[[#This Row],[Ship_Date]]-RawSalesTable5[[#This Row],[Order_Date]]</f>
        <v>8</v>
      </c>
      <c r="Z220" s="28">
        <f>DATE(YEAR(RawSalesTable5[[#This Row],[Order_Date]]),MONTH(RawSalesTable5[[#This Row],[Order_Date]]),1)</f>
        <v>45658</v>
      </c>
      <c r="AA220" t="str" cm="1">
        <f t="array" ref="AA220">IF(RawSalesTable5[[#This Row],[Lookup_Status]]="Missing Product","",_xlfn.IFS(RawSalesTable5[[#This Row],[Net_Revenue]]&gt;=20000,"High",RawSalesTable5[[#This Row],[Net_Revenue]]&gt;=10000,"Medium",TRUE,"Low"))</f>
        <v>Low</v>
      </c>
    </row>
    <row r="221" spans="1:27">
      <c r="A221" t="s">
        <v>353</v>
      </c>
      <c r="B221" s="15">
        <v>45726</v>
      </c>
      <c r="C221" s="15">
        <v>45734</v>
      </c>
      <c r="D221" t="s">
        <v>123</v>
      </c>
      <c r="E221" t="s">
        <v>101</v>
      </c>
      <c r="F221" t="s">
        <v>118</v>
      </c>
      <c r="G221" t="s">
        <v>94</v>
      </c>
      <c r="H221" t="s">
        <v>103</v>
      </c>
      <c r="I221" s="17">
        <v>1</v>
      </c>
      <c r="J221" s="16">
        <v>0.15</v>
      </c>
      <c r="K221" t="s">
        <v>119</v>
      </c>
      <c r="L221" t="s">
        <v>89</v>
      </c>
      <c r="M221" s="17">
        <v>5</v>
      </c>
      <c r="N221" t="str" cm="1">
        <f t="array" ref="N221">_xlfn.XLOOKUP(RawSalesTable5[[#This Row],[Product_Code]],ProductLookupTable[[#All],[Product_Code]],ProductLookupTable[[#All],[Product_Name]],"NOT FOUND")</f>
        <v>Mechanical Keyboard</v>
      </c>
      <c r="O221" t="str" cm="1">
        <f t="array" ref="O221">_xlfn.XLOOKUP(RawSalesTable5[[#This Row],[Product_Code]],ProductLookupTable[[#All],[Product_Code]],ProductLookupTable[[#All],[Category]],"NOT FOUND")</f>
        <v>Accessories</v>
      </c>
      <c r="P221" cm="1">
        <f t="array" ref="P221">_xlfn.XLOOKUP(RawSalesTable5[[#This Row],[Product_Code]],ProductLookupTable[[#All],[Product_Code]],ProductLookupTable[[#All],[Unit_Price]],"NOT FOUND")</f>
        <v>2499</v>
      </c>
      <c r="Q221" t="str">
        <f>IF(COUNTIF(ProductLookupTable[Product_Code],RawSalesTable5[[#This Row],[Product_Code]])=0,"Missing Product","OK")</f>
        <v>OK</v>
      </c>
      <c r="R221" cm="1">
        <f t="array" ref="R221">_xlfn.XLOOKUP(RawSalesTable5[[#This Row],[Product_Code]],ProductLookupTable[[#All],[Product_Code]],ProductLookupTable[[#All],[Unit_Cost]],"NOT FOUND")</f>
        <v>1450</v>
      </c>
      <c r="S221">
        <f>IFERROR(RawSalesTable5[[#This Row],[Quantity]]*RawSalesTable5[[#This Row],[Unit_Price]],"NOT FOUND")</f>
        <v>2499</v>
      </c>
      <c r="T221">
        <f>IFERROR(RawSalesTable5[[#This Row],[Gross_Revenue]]*RawSalesTable5[[#This Row],[Discount_Pct]],"NOT FOUND")</f>
        <v>374.84999999999997</v>
      </c>
      <c r="U221">
        <f>IFERROR(RawSalesTable5[[#This Row],[Gross_Revenue]]-RawSalesTable5[[#This Row],[Discount_Value]],"NOT FOUND")</f>
        <v>2124.15</v>
      </c>
      <c r="V221">
        <f>IFERROR(RawSalesTable5[[#This Row],[Quantity]]*RawSalesTable5[[#This Row],[Unit_Cost]],"NOT FOUND")</f>
        <v>1450</v>
      </c>
      <c r="W221">
        <f>IFERROR(RawSalesTable5[[#This Row],[Net_Revenue]]-RawSalesTable5[[#This Row],[Cost]],"NOT FOUND")</f>
        <v>674.15000000000009</v>
      </c>
      <c r="X221" s="27">
        <f>IF(RawSalesTable5[[#This Row],[Lookup_Status]]="Missing Product","",IFERROR(RawSalesTable5[[#This Row],[Profit]]/RawSalesTable5[[#This Row],[Net_Revenue]],0))</f>
        <v>0.31737400842690022</v>
      </c>
      <c r="Y221">
        <f>RawSalesTable5[[#This Row],[Ship_Date]]-RawSalesTable5[[#This Row],[Order_Date]]</f>
        <v>8</v>
      </c>
      <c r="Z221" s="28">
        <f>DATE(YEAR(RawSalesTable5[[#This Row],[Order_Date]]),MONTH(RawSalesTable5[[#This Row],[Order_Date]]),1)</f>
        <v>45717</v>
      </c>
      <c r="AA221" t="str" cm="1">
        <f t="array" ref="AA221">IF(RawSalesTable5[[#This Row],[Lookup_Status]]="Missing Product","",_xlfn.IFS(RawSalesTable5[[#This Row],[Net_Revenue]]&gt;=20000,"High",RawSalesTable5[[#This Row],[Net_Revenue]]&gt;=10000,"Medium",TRUE,"Low"))</f>
        <v>Low</v>
      </c>
    </row>
    <row r="222" spans="1:27">
      <c r="A222" t="s">
        <v>354</v>
      </c>
      <c r="B222" s="15">
        <v>45822</v>
      </c>
      <c r="C222" s="15">
        <v>45825</v>
      </c>
      <c r="D222" t="s">
        <v>83</v>
      </c>
      <c r="E222" t="s">
        <v>106</v>
      </c>
      <c r="F222" t="s">
        <v>138</v>
      </c>
      <c r="G222" t="s">
        <v>94</v>
      </c>
      <c r="H222" t="s">
        <v>86</v>
      </c>
      <c r="I222" s="17">
        <v>1</v>
      </c>
      <c r="J222" s="16">
        <v>0.05</v>
      </c>
      <c r="K222" t="s">
        <v>112</v>
      </c>
      <c r="L222" t="s">
        <v>89</v>
      </c>
      <c r="M222" s="17">
        <v>3</v>
      </c>
      <c r="N222" t="str" cm="1">
        <f t="array" ref="N222">_xlfn.XLOOKUP(RawSalesTable5[[#This Row],[Product_Code]],ProductLookupTable[[#All],[Product_Code]],ProductLookupTable[[#All],[Product_Name]],"NOT FOUND")</f>
        <v>24-inch Monitor</v>
      </c>
      <c r="O222" t="str" cm="1">
        <f t="array" ref="O222">_xlfn.XLOOKUP(RawSalesTable5[[#This Row],[Product_Code]],ProductLookupTable[[#All],[Product_Code]],ProductLookupTable[[#All],[Category]],"NOT FOUND")</f>
        <v>Displays</v>
      </c>
      <c r="P222" cm="1">
        <f t="array" ref="P222">_xlfn.XLOOKUP(RawSalesTable5[[#This Row],[Product_Code]],ProductLookupTable[[#All],[Product_Code]],ProductLookupTable[[#All],[Unit_Price]],"NOT FOUND")</f>
        <v>12999</v>
      </c>
      <c r="Q222" t="str">
        <f>IF(COUNTIF(ProductLookupTable[Product_Code],RawSalesTable5[[#This Row],[Product_Code]])=0,"Missing Product","OK")</f>
        <v>OK</v>
      </c>
      <c r="R222" cm="1">
        <f t="array" ref="R222">_xlfn.XLOOKUP(RawSalesTable5[[#This Row],[Product_Code]],ProductLookupTable[[#All],[Product_Code]],ProductLookupTable[[#All],[Unit_Cost]],"NOT FOUND")</f>
        <v>9100</v>
      </c>
      <c r="S222">
        <f>IFERROR(RawSalesTable5[[#This Row],[Quantity]]*RawSalesTable5[[#This Row],[Unit_Price]],"NOT FOUND")</f>
        <v>12999</v>
      </c>
      <c r="T222">
        <f>IFERROR(RawSalesTable5[[#This Row],[Gross_Revenue]]*RawSalesTable5[[#This Row],[Discount_Pct]],"NOT FOUND")</f>
        <v>649.95000000000005</v>
      </c>
      <c r="U222">
        <f>IFERROR(RawSalesTable5[[#This Row],[Gross_Revenue]]-RawSalesTable5[[#This Row],[Discount_Value]],"NOT FOUND")</f>
        <v>12349.05</v>
      </c>
      <c r="V222">
        <f>IFERROR(RawSalesTable5[[#This Row],[Quantity]]*RawSalesTable5[[#This Row],[Unit_Cost]],"NOT FOUND")</f>
        <v>9100</v>
      </c>
      <c r="W222">
        <f>IFERROR(RawSalesTable5[[#This Row],[Net_Revenue]]-RawSalesTable5[[#This Row],[Cost]],"NOT FOUND")</f>
        <v>3249.0499999999993</v>
      </c>
      <c r="X222" s="27">
        <f>IF(RawSalesTable5[[#This Row],[Lookup_Status]]="Missing Product","",IFERROR(RawSalesTable5[[#This Row],[Profit]]/RawSalesTable5[[#This Row],[Net_Revenue]],0))</f>
        <v>0.26310121021455085</v>
      </c>
      <c r="Y222">
        <f>RawSalesTable5[[#This Row],[Ship_Date]]-RawSalesTable5[[#This Row],[Order_Date]]</f>
        <v>3</v>
      </c>
      <c r="Z222" s="28">
        <f>DATE(YEAR(RawSalesTable5[[#This Row],[Order_Date]]),MONTH(RawSalesTable5[[#This Row],[Order_Date]]),1)</f>
        <v>45809</v>
      </c>
      <c r="AA222" t="str" cm="1">
        <f t="array" ref="AA222">IF(RawSalesTable5[[#This Row],[Lookup_Status]]="Missing Product","",_xlfn.IFS(RawSalesTable5[[#This Row],[Net_Revenue]]&gt;=20000,"High",RawSalesTable5[[#This Row],[Net_Revenue]]&gt;=10000,"Medium",TRUE,"Low"))</f>
        <v>Medium</v>
      </c>
    </row>
    <row r="223" spans="1:27">
      <c r="A223" t="s">
        <v>355</v>
      </c>
      <c r="B223" s="15">
        <v>45844</v>
      </c>
      <c r="C223" s="15">
        <v>45845</v>
      </c>
      <c r="D223" t="s">
        <v>114</v>
      </c>
      <c r="E223" t="s">
        <v>111</v>
      </c>
      <c r="F223" t="s">
        <v>118</v>
      </c>
      <c r="G223" t="s">
        <v>108</v>
      </c>
      <c r="H223" t="s">
        <v>86</v>
      </c>
      <c r="I223" s="17">
        <v>1</v>
      </c>
      <c r="J223" s="16">
        <v>0.1</v>
      </c>
      <c r="K223" t="s">
        <v>95</v>
      </c>
      <c r="L223" t="s">
        <v>89</v>
      </c>
      <c r="M223" s="17">
        <v>4</v>
      </c>
      <c r="N223" t="str" cm="1">
        <f t="array" ref="N223">_xlfn.XLOOKUP(RawSalesTable5[[#This Row],[Product_Code]],ProductLookupTable[[#All],[Product_Code]],ProductLookupTable[[#All],[Product_Name]],"NOT FOUND")</f>
        <v>Mechanical Keyboard</v>
      </c>
      <c r="O223" t="str" cm="1">
        <f t="array" ref="O223">_xlfn.XLOOKUP(RawSalesTable5[[#This Row],[Product_Code]],ProductLookupTable[[#All],[Product_Code]],ProductLookupTable[[#All],[Category]],"NOT FOUND")</f>
        <v>Accessories</v>
      </c>
      <c r="P223" cm="1">
        <f t="array" ref="P223">_xlfn.XLOOKUP(RawSalesTable5[[#This Row],[Product_Code]],ProductLookupTable[[#All],[Product_Code]],ProductLookupTable[[#All],[Unit_Price]],"NOT FOUND")</f>
        <v>2499</v>
      </c>
      <c r="Q223" t="str">
        <f>IF(COUNTIF(ProductLookupTable[Product_Code],RawSalesTable5[[#This Row],[Product_Code]])=0,"Missing Product","OK")</f>
        <v>OK</v>
      </c>
      <c r="R223" cm="1">
        <f t="array" ref="R223">_xlfn.XLOOKUP(RawSalesTable5[[#This Row],[Product_Code]],ProductLookupTable[[#All],[Product_Code]],ProductLookupTable[[#All],[Unit_Cost]],"NOT FOUND")</f>
        <v>1450</v>
      </c>
      <c r="S223">
        <f>IFERROR(RawSalesTable5[[#This Row],[Quantity]]*RawSalesTable5[[#This Row],[Unit_Price]],"NOT FOUND")</f>
        <v>2499</v>
      </c>
      <c r="T223">
        <f>IFERROR(RawSalesTable5[[#This Row],[Gross_Revenue]]*RawSalesTable5[[#This Row],[Discount_Pct]],"NOT FOUND")</f>
        <v>249.9</v>
      </c>
      <c r="U223">
        <f>IFERROR(RawSalesTable5[[#This Row],[Gross_Revenue]]-RawSalesTable5[[#This Row],[Discount_Value]],"NOT FOUND")</f>
        <v>2249.1</v>
      </c>
      <c r="V223">
        <f>IFERROR(RawSalesTable5[[#This Row],[Quantity]]*RawSalesTable5[[#This Row],[Unit_Cost]],"NOT FOUND")</f>
        <v>1450</v>
      </c>
      <c r="W223">
        <f>IFERROR(RawSalesTable5[[#This Row],[Net_Revenue]]-RawSalesTable5[[#This Row],[Cost]],"NOT FOUND")</f>
        <v>799.09999999999991</v>
      </c>
      <c r="X223" s="27">
        <f>IF(RawSalesTable5[[#This Row],[Lookup_Status]]="Missing Product","",IFERROR(RawSalesTable5[[#This Row],[Profit]]/RawSalesTable5[[#This Row],[Net_Revenue]],0))</f>
        <v>0.35529767462540568</v>
      </c>
      <c r="Y223">
        <f>RawSalesTable5[[#This Row],[Ship_Date]]-RawSalesTable5[[#This Row],[Order_Date]]</f>
        <v>1</v>
      </c>
      <c r="Z223" s="28">
        <f>DATE(YEAR(RawSalesTable5[[#This Row],[Order_Date]]),MONTH(RawSalesTable5[[#This Row],[Order_Date]]),1)</f>
        <v>45839</v>
      </c>
      <c r="AA223" t="str" cm="1">
        <f t="array" ref="AA223">IF(RawSalesTable5[[#This Row],[Lookup_Status]]="Missing Product","",_xlfn.IFS(RawSalesTable5[[#This Row],[Net_Revenue]]&gt;=20000,"High",RawSalesTable5[[#This Row],[Net_Revenue]]&gt;=10000,"Medium",TRUE,"Low"))</f>
        <v>Low</v>
      </c>
    </row>
    <row r="224" spans="1:27">
      <c r="A224" t="s">
        <v>356</v>
      </c>
      <c r="B224" s="15">
        <v>45924</v>
      </c>
      <c r="C224" s="15">
        <v>45929</v>
      </c>
      <c r="D224" t="s">
        <v>157</v>
      </c>
      <c r="E224" t="s">
        <v>84</v>
      </c>
      <c r="F224" t="s">
        <v>121</v>
      </c>
      <c r="G224" t="s">
        <v>125</v>
      </c>
      <c r="H224" t="s">
        <v>87</v>
      </c>
      <c r="I224" s="17">
        <v>3</v>
      </c>
      <c r="J224" s="16">
        <v>0.1</v>
      </c>
      <c r="K224" t="s">
        <v>95</v>
      </c>
      <c r="L224" t="s">
        <v>89</v>
      </c>
      <c r="M224" s="17">
        <v>4</v>
      </c>
      <c r="N224" t="str" cm="1">
        <f t="array" ref="N224">_xlfn.XLOOKUP(RawSalesTable5[[#This Row],[Product_Code]],ProductLookupTable[[#All],[Product_Code]],ProductLookupTable[[#All],[Product_Name]],"NOT FOUND")</f>
        <v>HD Webcam</v>
      </c>
      <c r="O224" t="str" cm="1">
        <f t="array" ref="O224">_xlfn.XLOOKUP(RawSalesTable5[[#This Row],[Product_Code]],ProductLookupTable[[#All],[Product_Code]],ProductLookupTable[[#All],[Category]],"NOT FOUND")</f>
        <v>Accessories</v>
      </c>
      <c r="P224" cm="1">
        <f t="array" ref="P224">_xlfn.XLOOKUP(RawSalesTable5[[#This Row],[Product_Code]],ProductLookupTable[[#All],[Product_Code]],ProductLookupTable[[#All],[Unit_Price]],"NOT FOUND")</f>
        <v>2899</v>
      </c>
      <c r="Q224" t="str">
        <f>IF(COUNTIF(ProductLookupTable[Product_Code],RawSalesTable5[[#This Row],[Product_Code]])=0,"Missing Product","OK")</f>
        <v>OK</v>
      </c>
      <c r="R224" cm="1">
        <f t="array" ref="R224">_xlfn.XLOOKUP(RawSalesTable5[[#This Row],[Product_Code]],ProductLookupTable[[#All],[Product_Code]],ProductLookupTable[[#All],[Unit_Cost]],"NOT FOUND")</f>
        <v>1700</v>
      </c>
      <c r="S224">
        <f>IFERROR(RawSalesTable5[[#This Row],[Quantity]]*RawSalesTable5[[#This Row],[Unit_Price]],"NOT FOUND")</f>
        <v>8697</v>
      </c>
      <c r="T224">
        <f>IFERROR(RawSalesTable5[[#This Row],[Gross_Revenue]]*RawSalesTable5[[#This Row],[Discount_Pct]],"NOT FOUND")</f>
        <v>869.7</v>
      </c>
      <c r="U224">
        <f>IFERROR(RawSalesTable5[[#This Row],[Gross_Revenue]]-RawSalesTable5[[#This Row],[Discount_Value]],"NOT FOUND")</f>
        <v>7827.3</v>
      </c>
      <c r="V224">
        <f>IFERROR(RawSalesTable5[[#This Row],[Quantity]]*RawSalesTable5[[#This Row],[Unit_Cost]],"NOT FOUND")</f>
        <v>5100</v>
      </c>
      <c r="W224">
        <f>IFERROR(RawSalesTable5[[#This Row],[Net_Revenue]]-RawSalesTable5[[#This Row],[Cost]],"NOT FOUND")</f>
        <v>2727.3</v>
      </c>
      <c r="X224" s="27">
        <f>IF(RawSalesTable5[[#This Row],[Lookup_Status]]="Missing Product","",IFERROR(RawSalesTable5[[#This Row],[Profit]]/RawSalesTable5[[#This Row],[Net_Revenue]],0))</f>
        <v>0.34843432601280139</v>
      </c>
      <c r="Y224">
        <f>RawSalesTable5[[#This Row],[Ship_Date]]-RawSalesTable5[[#This Row],[Order_Date]]</f>
        <v>5</v>
      </c>
      <c r="Z224" s="28">
        <f>DATE(YEAR(RawSalesTable5[[#This Row],[Order_Date]]),MONTH(RawSalesTable5[[#This Row],[Order_Date]]),1)</f>
        <v>45901</v>
      </c>
      <c r="AA224" t="str" cm="1">
        <f t="array" ref="AA224">IF(RawSalesTable5[[#This Row],[Lookup_Status]]="Missing Product","",_xlfn.IFS(RawSalesTable5[[#This Row],[Net_Revenue]]&gt;=20000,"High",RawSalesTable5[[#This Row],[Net_Revenue]]&gt;=10000,"Medium",TRUE,"Low"))</f>
        <v>Low</v>
      </c>
    </row>
    <row r="225" spans="1:27">
      <c r="A225" t="s">
        <v>357</v>
      </c>
      <c r="B225" s="15">
        <v>45804</v>
      </c>
      <c r="C225" s="15">
        <v>45810</v>
      </c>
      <c r="D225" t="s">
        <v>212</v>
      </c>
      <c r="E225" t="s">
        <v>92</v>
      </c>
      <c r="F225" t="s">
        <v>93</v>
      </c>
      <c r="G225" t="s">
        <v>125</v>
      </c>
      <c r="H225" t="s">
        <v>103</v>
      </c>
      <c r="I225" s="17">
        <v>2</v>
      </c>
      <c r="J225" s="16">
        <v>0.15</v>
      </c>
      <c r="K225" t="s">
        <v>88</v>
      </c>
      <c r="L225" t="s">
        <v>89</v>
      </c>
      <c r="M225" s="17">
        <v>5</v>
      </c>
      <c r="N225" t="str" cm="1">
        <f t="array" ref="N225">_xlfn.XLOOKUP(RawSalesTable5[[#This Row],[Product_Code]],ProductLookupTable[[#All],[Product_Code]],ProductLookupTable[[#All],[Product_Name]],"NOT FOUND")</f>
        <v>Wireless Headset</v>
      </c>
      <c r="O225" t="str" cm="1">
        <f t="array" ref="O225">_xlfn.XLOOKUP(RawSalesTable5[[#This Row],[Product_Code]],ProductLookupTable[[#All],[Product_Code]],ProductLookupTable[[#All],[Category]],"NOT FOUND")</f>
        <v>Audio</v>
      </c>
      <c r="P225" cm="1">
        <f t="array" ref="P225">_xlfn.XLOOKUP(RawSalesTable5[[#This Row],[Product_Code]],ProductLookupTable[[#All],[Product_Code]],ProductLookupTable[[#All],[Unit_Price]],"NOT FOUND")</f>
        <v>3499</v>
      </c>
      <c r="Q225" t="str">
        <f>IF(COUNTIF(ProductLookupTable[Product_Code],RawSalesTable5[[#This Row],[Product_Code]])=0,"Missing Product","OK")</f>
        <v>OK</v>
      </c>
      <c r="R225" cm="1">
        <f t="array" ref="R225">_xlfn.XLOOKUP(RawSalesTable5[[#This Row],[Product_Code]],ProductLookupTable[[#All],[Product_Code]],ProductLookupTable[[#All],[Unit_Cost]],"NOT FOUND")</f>
        <v>2100</v>
      </c>
      <c r="S225">
        <f>IFERROR(RawSalesTable5[[#This Row],[Quantity]]*RawSalesTable5[[#This Row],[Unit_Price]],"NOT FOUND")</f>
        <v>6998</v>
      </c>
      <c r="T225">
        <f>IFERROR(RawSalesTable5[[#This Row],[Gross_Revenue]]*RawSalesTable5[[#This Row],[Discount_Pct]],"NOT FOUND")</f>
        <v>1049.7</v>
      </c>
      <c r="U225">
        <f>IFERROR(RawSalesTable5[[#This Row],[Gross_Revenue]]-RawSalesTable5[[#This Row],[Discount_Value]],"NOT FOUND")</f>
        <v>5948.3</v>
      </c>
      <c r="V225">
        <f>IFERROR(RawSalesTable5[[#This Row],[Quantity]]*RawSalesTable5[[#This Row],[Unit_Cost]],"NOT FOUND")</f>
        <v>4200</v>
      </c>
      <c r="W225">
        <f>IFERROR(RawSalesTable5[[#This Row],[Net_Revenue]]-RawSalesTable5[[#This Row],[Cost]],"NOT FOUND")</f>
        <v>1748.3000000000002</v>
      </c>
      <c r="X225" s="27">
        <f>IF(RawSalesTable5[[#This Row],[Lookup_Status]]="Missing Product","",IFERROR(RawSalesTable5[[#This Row],[Profit]]/RawSalesTable5[[#This Row],[Net_Revenue]],0))</f>
        <v>0.29391590874703699</v>
      </c>
      <c r="Y225">
        <f>RawSalesTable5[[#This Row],[Ship_Date]]-RawSalesTable5[[#This Row],[Order_Date]]</f>
        <v>6</v>
      </c>
      <c r="Z225" s="28">
        <f>DATE(YEAR(RawSalesTable5[[#This Row],[Order_Date]]),MONTH(RawSalesTable5[[#This Row],[Order_Date]]),1)</f>
        <v>45778</v>
      </c>
      <c r="AA225" t="str" cm="1">
        <f t="array" ref="AA225">IF(RawSalesTable5[[#This Row],[Lookup_Status]]="Missing Product","",_xlfn.IFS(RawSalesTable5[[#This Row],[Net_Revenue]]&gt;=20000,"High",RawSalesTable5[[#This Row],[Net_Revenue]]&gt;=10000,"Medium",TRUE,"Low"))</f>
        <v>Low</v>
      </c>
    </row>
    <row r="226" spans="1:27">
      <c r="A226" t="s">
        <v>358</v>
      </c>
      <c r="B226" s="15">
        <v>45979</v>
      </c>
      <c r="C226" s="15">
        <v>45982</v>
      </c>
      <c r="D226" t="s">
        <v>123</v>
      </c>
      <c r="E226" t="s">
        <v>98</v>
      </c>
      <c r="F226" t="s">
        <v>107</v>
      </c>
      <c r="G226" t="s">
        <v>86</v>
      </c>
      <c r="H226" t="s">
        <v>87</v>
      </c>
      <c r="I226" s="17">
        <v>1</v>
      </c>
      <c r="J226" s="16">
        <v>0</v>
      </c>
      <c r="K226" t="s">
        <v>88</v>
      </c>
      <c r="L226" t="s">
        <v>89</v>
      </c>
      <c r="M226" s="17">
        <v>5</v>
      </c>
      <c r="N226" t="str" cm="1">
        <f t="array" ref="N226">_xlfn.XLOOKUP(RawSalesTable5[[#This Row],[Product_Code]],ProductLookupTable[[#All],[Product_Code]],ProductLookupTable[[#All],[Product_Name]],"NOT FOUND")</f>
        <v>Bluetooth Speaker</v>
      </c>
      <c r="O226" t="str" cm="1">
        <f t="array" ref="O226">_xlfn.XLOOKUP(RawSalesTable5[[#This Row],[Product_Code]],ProductLookupTable[[#All],[Product_Code]],ProductLookupTable[[#All],[Category]],"NOT FOUND")</f>
        <v>Audio</v>
      </c>
      <c r="P226" cm="1">
        <f t="array" ref="P226">_xlfn.XLOOKUP(RawSalesTable5[[#This Row],[Product_Code]],ProductLookupTable[[#All],[Product_Code]],ProductLookupTable[[#All],[Unit_Price]],"NOT FOUND")</f>
        <v>2799</v>
      </c>
      <c r="Q226" t="str">
        <f>IF(COUNTIF(ProductLookupTable[Product_Code],RawSalesTable5[[#This Row],[Product_Code]])=0,"Missing Product","OK")</f>
        <v>OK</v>
      </c>
      <c r="R226" cm="1">
        <f t="array" ref="R226">_xlfn.XLOOKUP(RawSalesTable5[[#This Row],[Product_Code]],ProductLookupTable[[#All],[Product_Code]],ProductLookupTable[[#All],[Unit_Cost]],"NOT FOUND")</f>
        <v>1650</v>
      </c>
      <c r="S226">
        <f>IFERROR(RawSalesTable5[[#This Row],[Quantity]]*RawSalesTable5[[#This Row],[Unit_Price]],"NOT FOUND")</f>
        <v>2799</v>
      </c>
      <c r="T226">
        <f>IFERROR(RawSalesTable5[[#This Row],[Gross_Revenue]]*RawSalesTable5[[#This Row],[Discount_Pct]],"NOT FOUND")</f>
        <v>0</v>
      </c>
      <c r="U226">
        <f>IFERROR(RawSalesTable5[[#This Row],[Gross_Revenue]]-RawSalesTable5[[#This Row],[Discount_Value]],"NOT FOUND")</f>
        <v>2799</v>
      </c>
      <c r="V226">
        <f>IFERROR(RawSalesTable5[[#This Row],[Quantity]]*RawSalesTable5[[#This Row],[Unit_Cost]],"NOT FOUND")</f>
        <v>1650</v>
      </c>
      <c r="W226">
        <f>IFERROR(RawSalesTable5[[#This Row],[Net_Revenue]]-RawSalesTable5[[#This Row],[Cost]],"NOT FOUND")</f>
        <v>1149</v>
      </c>
      <c r="X226" s="27">
        <f>IF(RawSalesTable5[[#This Row],[Lookup_Status]]="Missing Product","",IFERROR(RawSalesTable5[[#This Row],[Profit]]/RawSalesTable5[[#This Row],[Net_Revenue]],0))</f>
        <v>0.41050375133976419</v>
      </c>
      <c r="Y226">
        <f>RawSalesTable5[[#This Row],[Ship_Date]]-RawSalesTable5[[#This Row],[Order_Date]]</f>
        <v>3</v>
      </c>
      <c r="Z226" s="28">
        <f>DATE(YEAR(RawSalesTable5[[#This Row],[Order_Date]]),MONTH(RawSalesTable5[[#This Row],[Order_Date]]),1)</f>
        <v>45962</v>
      </c>
      <c r="AA226" t="str" cm="1">
        <f t="array" ref="AA226">IF(RawSalesTable5[[#This Row],[Lookup_Status]]="Missing Product","",_xlfn.IFS(RawSalesTable5[[#This Row],[Net_Revenue]]&gt;=20000,"High",RawSalesTable5[[#This Row],[Net_Revenue]]&gt;=10000,"Medium",TRUE,"Low"))</f>
        <v>Low</v>
      </c>
    </row>
    <row r="227" spans="1:27">
      <c r="A227" t="s">
        <v>359</v>
      </c>
      <c r="B227" s="15">
        <v>45982</v>
      </c>
      <c r="C227" s="15">
        <v>45985</v>
      </c>
      <c r="D227" t="s">
        <v>83</v>
      </c>
      <c r="E227" t="s">
        <v>101</v>
      </c>
      <c r="F227" t="s">
        <v>154</v>
      </c>
      <c r="G227" t="s">
        <v>108</v>
      </c>
      <c r="H227" t="s">
        <v>103</v>
      </c>
      <c r="I227" s="17">
        <v>3</v>
      </c>
      <c r="J227" s="16">
        <v>0.1</v>
      </c>
      <c r="K227" t="s">
        <v>88</v>
      </c>
      <c r="L227" t="s">
        <v>89</v>
      </c>
      <c r="M227" s="17">
        <v>3</v>
      </c>
      <c r="N227" t="str" cm="1">
        <f t="array" ref="N227">_xlfn.XLOOKUP(RawSalesTable5[[#This Row],[Product_Code]],ProductLookupTable[[#All],[Product_Code]],ProductLookupTable[[#All],[Product_Name]],"NOT FOUND")</f>
        <v>Laptop Stand</v>
      </c>
      <c r="O227" t="str" cm="1">
        <f t="array" ref="O227">_xlfn.XLOOKUP(RawSalesTable5[[#This Row],[Product_Code]],ProductLookupTable[[#All],[Product_Code]],ProductLookupTable[[#All],[Category]],"NOT FOUND")</f>
        <v>Accessories</v>
      </c>
      <c r="P227" cm="1">
        <f t="array" ref="P227">_xlfn.XLOOKUP(RawSalesTable5[[#This Row],[Product_Code]],ProductLookupTable[[#All],[Product_Code]],ProductLookupTable[[#All],[Unit_Price]],"NOT FOUND")</f>
        <v>1899</v>
      </c>
      <c r="Q227" t="str">
        <f>IF(COUNTIF(ProductLookupTable[Product_Code],RawSalesTable5[[#This Row],[Product_Code]])=0,"Missing Product","OK")</f>
        <v>OK</v>
      </c>
      <c r="R227" cm="1">
        <f t="array" ref="R227">_xlfn.XLOOKUP(RawSalesTable5[[#This Row],[Product_Code]],ProductLookupTable[[#All],[Product_Code]],ProductLookupTable[[#All],[Unit_Cost]],"NOT FOUND")</f>
        <v>980</v>
      </c>
      <c r="S227">
        <f>IFERROR(RawSalesTable5[[#This Row],[Quantity]]*RawSalesTable5[[#This Row],[Unit_Price]],"NOT FOUND")</f>
        <v>5697</v>
      </c>
      <c r="T227">
        <f>IFERROR(RawSalesTable5[[#This Row],[Gross_Revenue]]*RawSalesTable5[[#This Row],[Discount_Pct]],"NOT FOUND")</f>
        <v>569.70000000000005</v>
      </c>
      <c r="U227">
        <f>IFERROR(RawSalesTable5[[#This Row],[Gross_Revenue]]-RawSalesTable5[[#This Row],[Discount_Value]],"NOT FOUND")</f>
        <v>5127.3</v>
      </c>
      <c r="V227">
        <f>IFERROR(RawSalesTable5[[#This Row],[Quantity]]*RawSalesTable5[[#This Row],[Unit_Cost]],"NOT FOUND")</f>
        <v>2940</v>
      </c>
      <c r="W227">
        <f>IFERROR(RawSalesTable5[[#This Row],[Net_Revenue]]-RawSalesTable5[[#This Row],[Cost]],"NOT FOUND")</f>
        <v>2187.3000000000002</v>
      </c>
      <c r="X227" s="27">
        <f>IF(RawSalesTable5[[#This Row],[Lookup_Status]]="Missing Product","",IFERROR(RawSalesTable5[[#This Row],[Profit]]/RawSalesTable5[[#This Row],[Net_Revenue]],0))</f>
        <v>0.42659879468726231</v>
      </c>
      <c r="Y227">
        <f>RawSalesTable5[[#This Row],[Ship_Date]]-RawSalesTable5[[#This Row],[Order_Date]]</f>
        <v>3</v>
      </c>
      <c r="Z227" s="28">
        <f>DATE(YEAR(RawSalesTable5[[#This Row],[Order_Date]]),MONTH(RawSalesTable5[[#This Row],[Order_Date]]),1)</f>
        <v>45962</v>
      </c>
      <c r="AA227" t="str" cm="1">
        <f t="array" ref="AA227">IF(RawSalesTable5[[#This Row],[Lookup_Status]]="Missing Product","",_xlfn.IFS(RawSalesTable5[[#This Row],[Net_Revenue]]&gt;=20000,"High",RawSalesTable5[[#This Row],[Net_Revenue]]&gt;=10000,"Medium",TRUE,"Low"))</f>
        <v>Low</v>
      </c>
    </row>
    <row r="228" spans="1:27">
      <c r="A228" t="s">
        <v>360</v>
      </c>
      <c r="B228" s="15">
        <v>45843</v>
      </c>
      <c r="C228" s="15">
        <v>45846</v>
      </c>
      <c r="D228" t="s">
        <v>114</v>
      </c>
      <c r="E228" t="s">
        <v>106</v>
      </c>
      <c r="F228" t="s">
        <v>124</v>
      </c>
      <c r="G228" t="s">
        <v>108</v>
      </c>
      <c r="H228" t="s">
        <v>87</v>
      </c>
      <c r="I228" s="17">
        <v>2</v>
      </c>
      <c r="J228" s="16">
        <v>0.15</v>
      </c>
      <c r="K228" t="s">
        <v>88</v>
      </c>
      <c r="L228" t="s">
        <v>89</v>
      </c>
      <c r="M228" s="17">
        <v>3</v>
      </c>
      <c r="N228" t="str" cm="1">
        <f t="array" ref="N228">_xlfn.XLOOKUP(RawSalesTable5[[#This Row],[Product_Code]],ProductLookupTable[[#All],[Product_Code]],ProductLookupTable[[#All],[Product_Name]],"NOT FOUND")</f>
        <v>Wireless Mouse</v>
      </c>
      <c r="O228" t="str" cm="1">
        <f t="array" ref="O228">_xlfn.XLOOKUP(RawSalesTable5[[#This Row],[Product_Code]],ProductLookupTable[[#All],[Product_Code]],ProductLookupTable[[#All],[Category]],"NOT FOUND")</f>
        <v>Accessories</v>
      </c>
      <c r="P228" cm="1">
        <f t="array" ref="P228">_xlfn.XLOOKUP(RawSalesTable5[[#This Row],[Product_Code]],ProductLookupTable[[#All],[Product_Code]],ProductLookupTable[[#All],[Unit_Price]],"NOT FOUND")</f>
        <v>799</v>
      </c>
      <c r="Q228" t="str">
        <f>IF(COUNTIF(ProductLookupTable[Product_Code],RawSalesTable5[[#This Row],[Product_Code]])=0,"Missing Product","OK")</f>
        <v>OK</v>
      </c>
      <c r="R228" cm="1">
        <f t="array" ref="R228">_xlfn.XLOOKUP(RawSalesTable5[[#This Row],[Product_Code]],ProductLookupTable[[#All],[Product_Code]],ProductLookupTable[[#All],[Unit_Cost]],"NOT FOUND")</f>
        <v>420</v>
      </c>
      <c r="S228">
        <f>IFERROR(RawSalesTable5[[#This Row],[Quantity]]*RawSalesTable5[[#This Row],[Unit_Price]],"NOT FOUND")</f>
        <v>1598</v>
      </c>
      <c r="T228">
        <f>IFERROR(RawSalesTable5[[#This Row],[Gross_Revenue]]*RawSalesTable5[[#This Row],[Discount_Pct]],"NOT FOUND")</f>
        <v>239.7</v>
      </c>
      <c r="U228">
        <f>IFERROR(RawSalesTable5[[#This Row],[Gross_Revenue]]-RawSalesTable5[[#This Row],[Discount_Value]],"NOT FOUND")</f>
        <v>1358.3</v>
      </c>
      <c r="V228">
        <f>IFERROR(RawSalesTable5[[#This Row],[Quantity]]*RawSalesTable5[[#This Row],[Unit_Cost]],"NOT FOUND")</f>
        <v>840</v>
      </c>
      <c r="W228">
        <f>IFERROR(RawSalesTable5[[#This Row],[Net_Revenue]]-RawSalesTable5[[#This Row],[Cost]],"NOT FOUND")</f>
        <v>518.29999999999995</v>
      </c>
      <c r="X228" s="27">
        <f>IF(RawSalesTable5[[#This Row],[Lookup_Status]]="Missing Product","",IFERROR(RawSalesTable5[[#This Row],[Profit]]/RawSalesTable5[[#This Row],[Net_Revenue]],0))</f>
        <v>0.38157991607156</v>
      </c>
      <c r="Y228">
        <f>RawSalesTable5[[#This Row],[Ship_Date]]-RawSalesTable5[[#This Row],[Order_Date]]</f>
        <v>3</v>
      </c>
      <c r="Z228" s="28">
        <f>DATE(YEAR(RawSalesTable5[[#This Row],[Order_Date]]),MONTH(RawSalesTable5[[#This Row],[Order_Date]]),1)</f>
        <v>45839</v>
      </c>
      <c r="AA228" t="str" cm="1">
        <f t="array" ref="AA228">IF(RawSalesTable5[[#This Row],[Lookup_Status]]="Missing Product","",_xlfn.IFS(RawSalesTable5[[#This Row],[Net_Revenue]]&gt;=20000,"High",RawSalesTable5[[#This Row],[Net_Revenue]]&gt;=10000,"Medium",TRUE,"Low"))</f>
        <v>Low</v>
      </c>
    </row>
    <row r="229" spans="1:27">
      <c r="A229" t="s">
        <v>361</v>
      </c>
      <c r="B229" s="15">
        <v>45688</v>
      </c>
      <c r="C229" s="15">
        <v>45689</v>
      </c>
      <c r="D229" t="s">
        <v>157</v>
      </c>
      <c r="E229" t="s">
        <v>111</v>
      </c>
      <c r="F229" t="s">
        <v>124</v>
      </c>
      <c r="G229" t="s">
        <v>125</v>
      </c>
      <c r="H229" t="s">
        <v>86</v>
      </c>
      <c r="I229" s="17">
        <v>4</v>
      </c>
      <c r="J229" s="16">
        <v>0</v>
      </c>
      <c r="K229" t="s">
        <v>119</v>
      </c>
      <c r="L229" t="s">
        <v>126</v>
      </c>
      <c r="M229" s="17">
        <v>1</v>
      </c>
      <c r="N229" t="str" cm="1">
        <f t="array" ref="N229">_xlfn.XLOOKUP(RawSalesTable5[[#This Row],[Product_Code]],ProductLookupTable[[#All],[Product_Code]],ProductLookupTable[[#All],[Product_Name]],"NOT FOUND")</f>
        <v>Wireless Mouse</v>
      </c>
      <c r="O229" t="str" cm="1">
        <f t="array" ref="O229">_xlfn.XLOOKUP(RawSalesTable5[[#This Row],[Product_Code]],ProductLookupTable[[#All],[Product_Code]],ProductLookupTable[[#All],[Category]],"NOT FOUND")</f>
        <v>Accessories</v>
      </c>
      <c r="P229" cm="1">
        <f t="array" ref="P229">_xlfn.XLOOKUP(RawSalesTable5[[#This Row],[Product_Code]],ProductLookupTable[[#All],[Product_Code]],ProductLookupTable[[#All],[Unit_Price]],"NOT FOUND")</f>
        <v>799</v>
      </c>
      <c r="Q229" t="str">
        <f>IF(COUNTIF(ProductLookupTable[Product_Code],RawSalesTable5[[#This Row],[Product_Code]])=0,"Missing Product","OK")</f>
        <v>OK</v>
      </c>
      <c r="R229" cm="1">
        <f t="array" ref="R229">_xlfn.XLOOKUP(RawSalesTable5[[#This Row],[Product_Code]],ProductLookupTable[[#All],[Product_Code]],ProductLookupTable[[#All],[Unit_Cost]],"NOT FOUND")</f>
        <v>420</v>
      </c>
      <c r="S229">
        <f>IFERROR(RawSalesTable5[[#This Row],[Quantity]]*RawSalesTable5[[#This Row],[Unit_Price]],"NOT FOUND")</f>
        <v>3196</v>
      </c>
      <c r="T229">
        <f>IFERROR(RawSalesTable5[[#This Row],[Gross_Revenue]]*RawSalesTable5[[#This Row],[Discount_Pct]],"NOT FOUND")</f>
        <v>0</v>
      </c>
      <c r="U229">
        <f>IFERROR(RawSalesTable5[[#This Row],[Gross_Revenue]]-RawSalesTable5[[#This Row],[Discount_Value]],"NOT FOUND")</f>
        <v>3196</v>
      </c>
      <c r="V229">
        <f>IFERROR(RawSalesTable5[[#This Row],[Quantity]]*RawSalesTable5[[#This Row],[Unit_Cost]],"NOT FOUND")</f>
        <v>1680</v>
      </c>
      <c r="W229">
        <f>IFERROR(RawSalesTable5[[#This Row],[Net_Revenue]]-RawSalesTable5[[#This Row],[Cost]],"NOT FOUND")</f>
        <v>1516</v>
      </c>
      <c r="X229" s="27">
        <f>IF(RawSalesTable5[[#This Row],[Lookup_Status]]="Missing Product","",IFERROR(RawSalesTable5[[#This Row],[Profit]]/RawSalesTable5[[#This Row],[Net_Revenue]],0))</f>
        <v>0.47434292866082606</v>
      </c>
      <c r="Y229">
        <f>RawSalesTable5[[#This Row],[Ship_Date]]-RawSalesTable5[[#This Row],[Order_Date]]</f>
        <v>1</v>
      </c>
      <c r="Z229" s="28">
        <f>DATE(YEAR(RawSalesTable5[[#This Row],[Order_Date]]),MONTH(RawSalesTable5[[#This Row],[Order_Date]]),1)</f>
        <v>45658</v>
      </c>
      <c r="AA229" t="str" cm="1">
        <f t="array" ref="AA229">IF(RawSalesTable5[[#This Row],[Lookup_Status]]="Missing Product","",_xlfn.IFS(RawSalesTable5[[#This Row],[Net_Revenue]]&gt;=20000,"High",RawSalesTable5[[#This Row],[Net_Revenue]]&gt;=10000,"Medium",TRUE,"Low"))</f>
        <v>Low</v>
      </c>
    </row>
    <row r="230" spans="1:27">
      <c r="A230" t="s">
        <v>362</v>
      </c>
      <c r="B230" s="15">
        <v>45785</v>
      </c>
      <c r="C230" s="15">
        <v>45791</v>
      </c>
      <c r="D230" t="s">
        <v>212</v>
      </c>
      <c r="E230" t="s">
        <v>84</v>
      </c>
      <c r="F230" t="s">
        <v>121</v>
      </c>
      <c r="G230" t="s">
        <v>94</v>
      </c>
      <c r="H230" t="s">
        <v>86</v>
      </c>
      <c r="I230" s="17">
        <v>2</v>
      </c>
      <c r="J230" s="16">
        <v>0</v>
      </c>
      <c r="K230" t="s">
        <v>119</v>
      </c>
      <c r="L230" t="s">
        <v>89</v>
      </c>
      <c r="M230" s="17">
        <v>4</v>
      </c>
      <c r="N230" t="str" cm="1">
        <f t="array" ref="N230">_xlfn.XLOOKUP(RawSalesTable5[[#This Row],[Product_Code]],ProductLookupTable[[#All],[Product_Code]],ProductLookupTable[[#All],[Product_Name]],"NOT FOUND")</f>
        <v>HD Webcam</v>
      </c>
      <c r="O230" t="str" cm="1">
        <f t="array" ref="O230">_xlfn.XLOOKUP(RawSalesTable5[[#This Row],[Product_Code]],ProductLookupTable[[#All],[Product_Code]],ProductLookupTable[[#All],[Category]],"NOT FOUND")</f>
        <v>Accessories</v>
      </c>
      <c r="P230" cm="1">
        <f t="array" ref="P230">_xlfn.XLOOKUP(RawSalesTable5[[#This Row],[Product_Code]],ProductLookupTable[[#All],[Product_Code]],ProductLookupTable[[#All],[Unit_Price]],"NOT FOUND")</f>
        <v>2899</v>
      </c>
      <c r="Q230" t="str">
        <f>IF(COUNTIF(ProductLookupTable[Product_Code],RawSalesTable5[[#This Row],[Product_Code]])=0,"Missing Product","OK")</f>
        <v>OK</v>
      </c>
      <c r="R230" cm="1">
        <f t="array" ref="R230">_xlfn.XLOOKUP(RawSalesTable5[[#This Row],[Product_Code]],ProductLookupTable[[#All],[Product_Code]],ProductLookupTable[[#All],[Unit_Cost]],"NOT FOUND")</f>
        <v>1700</v>
      </c>
      <c r="S230">
        <f>IFERROR(RawSalesTable5[[#This Row],[Quantity]]*RawSalesTable5[[#This Row],[Unit_Price]],"NOT FOUND")</f>
        <v>5798</v>
      </c>
      <c r="T230">
        <f>IFERROR(RawSalesTable5[[#This Row],[Gross_Revenue]]*RawSalesTable5[[#This Row],[Discount_Pct]],"NOT FOUND")</f>
        <v>0</v>
      </c>
      <c r="U230">
        <f>IFERROR(RawSalesTable5[[#This Row],[Gross_Revenue]]-RawSalesTable5[[#This Row],[Discount_Value]],"NOT FOUND")</f>
        <v>5798</v>
      </c>
      <c r="V230">
        <f>IFERROR(RawSalesTable5[[#This Row],[Quantity]]*RawSalesTable5[[#This Row],[Unit_Cost]],"NOT FOUND")</f>
        <v>3400</v>
      </c>
      <c r="W230">
        <f>IFERROR(RawSalesTable5[[#This Row],[Net_Revenue]]-RawSalesTable5[[#This Row],[Cost]],"NOT FOUND")</f>
        <v>2398</v>
      </c>
      <c r="X230" s="27">
        <f>IF(RawSalesTable5[[#This Row],[Lookup_Status]]="Missing Product","",IFERROR(RawSalesTable5[[#This Row],[Profit]]/RawSalesTable5[[#This Row],[Net_Revenue]],0))</f>
        <v>0.41359089341152122</v>
      </c>
      <c r="Y230">
        <f>RawSalesTable5[[#This Row],[Ship_Date]]-RawSalesTable5[[#This Row],[Order_Date]]</f>
        <v>6</v>
      </c>
      <c r="Z230" s="28">
        <f>DATE(YEAR(RawSalesTable5[[#This Row],[Order_Date]]),MONTH(RawSalesTable5[[#This Row],[Order_Date]]),1)</f>
        <v>45778</v>
      </c>
      <c r="AA230" t="str" cm="1">
        <f t="array" ref="AA230">IF(RawSalesTable5[[#This Row],[Lookup_Status]]="Missing Product","",_xlfn.IFS(RawSalesTable5[[#This Row],[Net_Revenue]]&gt;=20000,"High",RawSalesTable5[[#This Row],[Net_Revenue]]&gt;=10000,"Medium",TRUE,"Low"))</f>
        <v>Low</v>
      </c>
    </row>
    <row r="231" spans="1:27">
      <c r="A231" t="s">
        <v>363</v>
      </c>
      <c r="B231" s="15">
        <v>45668</v>
      </c>
      <c r="C231" s="15">
        <v>45669</v>
      </c>
      <c r="D231" t="s">
        <v>123</v>
      </c>
      <c r="E231" t="s">
        <v>92</v>
      </c>
      <c r="F231" t="s">
        <v>107</v>
      </c>
      <c r="G231" t="s">
        <v>94</v>
      </c>
      <c r="H231" t="s">
        <v>87</v>
      </c>
      <c r="I231" s="17">
        <v>5</v>
      </c>
      <c r="J231" s="16">
        <v>0</v>
      </c>
      <c r="K231" t="s">
        <v>112</v>
      </c>
      <c r="L231" t="s">
        <v>89</v>
      </c>
      <c r="M231" s="17">
        <v>4</v>
      </c>
      <c r="N231" t="str" cm="1">
        <f t="array" ref="N231">_xlfn.XLOOKUP(RawSalesTable5[[#This Row],[Product_Code]],ProductLookupTable[[#All],[Product_Code]],ProductLookupTable[[#All],[Product_Name]],"NOT FOUND")</f>
        <v>Bluetooth Speaker</v>
      </c>
      <c r="O231" t="str" cm="1">
        <f t="array" ref="O231">_xlfn.XLOOKUP(RawSalesTable5[[#This Row],[Product_Code]],ProductLookupTable[[#All],[Product_Code]],ProductLookupTable[[#All],[Category]],"NOT FOUND")</f>
        <v>Audio</v>
      </c>
      <c r="P231" cm="1">
        <f t="array" ref="P231">_xlfn.XLOOKUP(RawSalesTable5[[#This Row],[Product_Code]],ProductLookupTable[[#All],[Product_Code]],ProductLookupTable[[#All],[Unit_Price]],"NOT FOUND")</f>
        <v>2799</v>
      </c>
      <c r="Q231" t="str">
        <f>IF(COUNTIF(ProductLookupTable[Product_Code],RawSalesTable5[[#This Row],[Product_Code]])=0,"Missing Product","OK")</f>
        <v>OK</v>
      </c>
      <c r="R231" cm="1">
        <f t="array" ref="R231">_xlfn.XLOOKUP(RawSalesTable5[[#This Row],[Product_Code]],ProductLookupTable[[#All],[Product_Code]],ProductLookupTable[[#All],[Unit_Cost]],"NOT FOUND")</f>
        <v>1650</v>
      </c>
      <c r="S231">
        <f>IFERROR(RawSalesTable5[[#This Row],[Quantity]]*RawSalesTable5[[#This Row],[Unit_Price]],"NOT FOUND")</f>
        <v>13995</v>
      </c>
      <c r="T231">
        <f>IFERROR(RawSalesTable5[[#This Row],[Gross_Revenue]]*RawSalesTable5[[#This Row],[Discount_Pct]],"NOT FOUND")</f>
        <v>0</v>
      </c>
      <c r="U231">
        <f>IFERROR(RawSalesTable5[[#This Row],[Gross_Revenue]]-RawSalesTable5[[#This Row],[Discount_Value]],"NOT FOUND")</f>
        <v>13995</v>
      </c>
      <c r="V231">
        <f>IFERROR(RawSalesTable5[[#This Row],[Quantity]]*RawSalesTable5[[#This Row],[Unit_Cost]],"NOT FOUND")</f>
        <v>8250</v>
      </c>
      <c r="W231">
        <f>IFERROR(RawSalesTable5[[#This Row],[Net_Revenue]]-RawSalesTable5[[#This Row],[Cost]],"NOT FOUND")</f>
        <v>5745</v>
      </c>
      <c r="X231" s="27">
        <f>IF(RawSalesTable5[[#This Row],[Lookup_Status]]="Missing Product","",IFERROR(RawSalesTable5[[#This Row],[Profit]]/RawSalesTable5[[#This Row],[Net_Revenue]],0))</f>
        <v>0.41050375133976419</v>
      </c>
      <c r="Y231">
        <f>RawSalesTable5[[#This Row],[Ship_Date]]-RawSalesTable5[[#This Row],[Order_Date]]</f>
        <v>1</v>
      </c>
      <c r="Z231" s="28">
        <f>DATE(YEAR(RawSalesTable5[[#This Row],[Order_Date]]),MONTH(RawSalesTable5[[#This Row],[Order_Date]]),1)</f>
        <v>45658</v>
      </c>
      <c r="AA231" t="str" cm="1">
        <f t="array" ref="AA231">IF(RawSalesTable5[[#This Row],[Lookup_Status]]="Missing Product","",_xlfn.IFS(RawSalesTable5[[#This Row],[Net_Revenue]]&gt;=20000,"High",RawSalesTable5[[#This Row],[Net_Revenue]]&gt;=10000,"Medium",TRUE,"Low"))</f>
        <v>Medium</v>
      </c>
    </row>
    <row r="232" spans="1:27">
      <c r="A232" t="s">
        <v>364</v>
      </c>
      <c r="B232" s="15">
        <v>45661</v>
      </c>
      <c r="C232" s="15">
        <v>45667</v>
      </c>
      <c r="D232" t="s">
        <v>83</v>
      </c>
      <c r="E232" t="s">
        <v>98</v>
      </c>
      <c r="F232" t="s">
        <v>93</v>
      </c>
      <c r="G232" t="s">
        <v>94</v>
      </c>
      <c r="H232" t="s">
        <v>86</v>
      </c>
      <c r="I232" s="17">
        <v>4</v>
      </c>
      <c r="J232" s="16">
        <v>0.15</v>
      </c>
      <c r="K232" t="s">
        <v>112</v>
      </c>
      <c r="L232" t="s">
        <v>89</v>
      </c>
      <c r="M232" s="17">
        <v>5</v>
      </c>
      <c r="N232" t="str" cm="1">
        <f t="array" ref="N232">_xlfn.XLOOKUP(RawSalesTable5[[#This Row],[Product_Code]],ProductLookupTable[[#All],[Product_Code]],ProductLookupTable[[#All],[Product_Name]],"NOT FOUND")</f>
        <v>Wireless Headset</v>
      </c>
      <c r="O232" t="str" cm="1">
        <f t="array" ref="O232">_xlfn.XLOOKUP(RawSalesTable5[[#This Row],[Product_Code]],ProductLookupTable[[#All],[Product_Code]],ProductLookupTable[[#All],[Category]],"NOT FOUND")</f>
        <v>Audio</v>
      </c>
      <c r="P232" cm="1">
        <f t="array" ref="P232">_xlfn.XLOOKUP(RawSalesTable5[[#This Row],[Product_Code]],ProductLookupTable[[#All],[Product_Code]],ProductLookupTable[[#All],[Unit_Price]],"NOT FOUND")</f>
        <v>3499</v>
      </c>
      <c r="Q232" t="str">
        <f>IF(COUNTIF(ProductLookupTable[Product_Code],RawSalesTable5[[#This Row],[Product_Code]])=0,"Missing Product","OK")</f>
        <v>OK</v>
      </c>
      <c r="R232" cm="1">
        <f t="array" ref="R232">_xlfn.XLOOKUP(RawSalesTable5[[#This Row],[Product_Code]],ProductLookupTable[[#All],[Product_Code]],ProductLookupTable[[#All],[Unit_Cost]],"NOT FOUND")</f>
        <v>2100</v>
      </c>
      <c r="S232">
        <f>IFERROR(RawSalesTable5[[#This Row],[Quantity]]*RawSalesTable5[[#This Row],[Unit_Price]],"NOT FOUND")</f>
        <v>13996</v>
      </c>
      <c r="T232">
        <f>IFERROR(RawSalesTable5[[#This Row],[Gross_Revenue]]*RawSalesTable5[[#This Row],[Discount_Pct]],"NOT FOUND")</f>
        <v>2099.4</v>
      </c>
      <c r="U232">
        <f>IFERROR(RawSalesTable5[[#This Row],[Gross_Revenue]]-RawSalesTable5[[#This Row],[Discount_Value]],"NOT FOUND")</f>
        <v>11896.6</v>
      </c>
      <c r="V232">
        <f>IFERROR(RawSalesTable5[[#This Row],[Quantity]]*RawSalesTable5[[#This Row],[Unit_Cost]],"NOT FOUND")</f>
        <v>8400</v>
      </c>
      <c r="W232">
        <f>IFERROR(RawSalesTable5[[#This Row],[Net_Revenue]]-RawSalesTable5[[#This Row],[Cost]],"NOT FOUND")</f>
        <v>3496.6000000000004</v>
      </c>
      <c r="X232" s="27">
        <f>IF(RawSalesTable5[[#This Row],[Lookup_Status]]="Missing Product","",IFERROR(RawSalesTable5[[#This Row],[Profit]]/RawSalesTable5[[#This Row],[Net_Revenue]],0))</f>
        <v>0.29391590874703699</v>
      </c>
      <c r="Y232">
        <f>RawSalesTable5[[#This Row],[Ship_Date]]-RawSalesTable5[[#This Row],[Order_Date]]</f>
        <v>6</v>
      </c>
      <c r="Z232" s="28">
        <f>DATE(YEAR(RawSalesTable5[[#This Row],[Order_Date]]),MONTH(RawSalesTable5[[#This Row],[Order_Date]]),1)</f>
        <v>45658</v>
      </c>
      <c r="AA232" t="str" cm="1">
        <f t="array" ref="AA232">IF(RawSalesTable5[[#This Row],[Lookup_Status]]="Missing Product","",_xlfn.IFS(RawSalesTable5[[#This Row],[Net_Revenue]]&gt;=20000,"High",RawSalesTable5[[#This Row],[Net_Revenue]]&gt;=10000,"Medium",TRUE,"Low"))</f>
        <v>Medium</v>
      </c>
    </row>
    <row r="233" spans="1:27">
      <c r="A233" t="s">
        <v>365</v>
      </c>
      <c r="B233" s="15">
        <v>45725</v>
      </c>
      <c r="C233" s="15">
        <v>45730</v>
      </c>
      <c r="D233" t="s">
        <v>114</v>
      </c>
      <c r="E233" t="s">
        <v>101</v>
      </c>
      <c r="F233" t="s">
        <v>124</v>
      </c>
      <c r="G233" t="s">
        <v>108</v>
      </c>
      <c r="H233" t="s">
        <v>103</v>
      </c>
      <c r="I233" s="17">
        <v>5</v>
      </c>
      <c r="J233" s="16">
        <v>0.2</v>
      </c>
      <c r="K233" t="s">
        <v>119</v>
      </c>
      <c r="L233" t="s">
        <v>89</v>
      </c>
      <c r="M233" s="17">
        <v>3</v>
      </c>
      <c r="N233" t="str" cm="1">
        <f t="array" ref="N233">_xlfn.XLOOKUP(RawSalesTable5[[#This Row],[Product_Code]],ProductLookupTable[[#All],[Product_Code]],ProductLookupTable[[#All],[Product_Name]],"NOT FOUND")</f>
        <v>Wireless Mouse</v>
      </c>
      <c r="O233" t="str" cm="1">
        <f t="array" ref="O233">_xlfn.XLOOKUP(RawSalesTable5[[#This Row],[Product_Code]],ProductLookupTable[[#All],[Product_Code]],ProductLookupTable[[#All],[Category]],"NOT FOUND")</f>
        <v>Accessories</v>
      </c>
      <c r="P233" cm="1">
        <f t="array" ref="P233">_xlfn.XLOOKUP(RawSalesTable5[[#This Row],[Product_Code]],ProductLookupTable[[#All],[Product_Code]],ProductLookupTable[[#All],[Unit_Price]],"NOT FOUND")</f>
        <v>799</v>
      </c>
      <c r="Q233" t="str">
        <f>IF(COUNTIF(ProductLookupTable[Product_Code],RawSalesTable5[[#This Row],[Product_Code]])=0,"Missing Product","OK")</f>
        <v>OK</v>
      </c>
      <c r="R233" cm="1">
        <f t="array" ref="R233">_xlfn.XLOOKUP(RawSalesTable5[[#This Row],[Product_Code]],ProductLookupTable[[#All],[Product_Code]],ProductLookupTable[[#All],[Unit_Cost]],"NOT FOUND")</f>
        <v>420</v>
      </c>
      <c r="S233">
        <f>IFERROR(RawSalesTable5[[#This Row],[Quantity]]*RawSalesTable5[[#This Row],[Unit_Price]],"NOT FOUND")</f>
        <v>3995</v>
      </c>
      <c r="T233">
        <f>IFERROR(RawSalesTable5[[#This Row],[Gross_Revenue]]*RawSalesTable5[[#This Row],[Discount_Pct]],"NOT FOUND")</f>
        <v>799</v>
      </c>
      <c r="U233">
        <f>IFERROR(RawSalesTable5[[#This Row],[Gross_Revenue]]-RawSalesTable5[[#This Row],[Discount_Value]],"NOT FOUND")</f>
        <v>3196</v>
      </c>
      <c r="V233">
        <f>IFERROR(RawSalesTable5[[#This Row],[Quantity]]*RawSalesTable5[[#This Row],[Unit_Cost]],"NOT FOUND")</f>
        <v>2100</v>
      </c>
      <c r="W233">
        <f>IFERROR(RawSalesTable5[[#This Row],[Net_Revenue]]-RawSalesTable5[[#This Row],[Cost]],"NOT FOUND")</f>
        <v>1096</v>
      </c>
      <c r="X233" s="27">
        <f>IF(RawSalesTable5[[#This Row],[Lookup_Status]]="Missing Product","",IFERROR(RawSalesTable5[[#This Row],[Profit]]/RawSalesTable5[[#This Row],[Net_Revenue]],0))</f>
        <v>0.34292866082603252</v>
      </c>
      <c r="Y233">
        <f>RawSalesTable5[[#This Row],[Ship_Date]]-RawSalesTable5[[#This Row],[Order_Date]]</f>
        <v>5</v>
      </c>
      <c r="Z233" s="28">
        <f>DATE(YEAR(RawSalesTable5[[#This Row],[Order_Date]]),MONTH(RawSalesTable5[[#This Row],[Order_Date]]),1)</f>
        <v>45717</v>
      </c>
      <c r="AA233" t="str" cm="1">
        <f t="array" ref="AA233">IF(RawSalesTable5[[#This Row],[Lookup_Status]]="Missing Product","",_xlfn.IFS(RawSalesTable5[[#This Row],[Net_Revenue]]&gt;=20000,"High",RawSalesTable5[[#This Row],[Net_Revenue]]&gt;=10000,"Medium",TRUE,"Low"))</f>
        <v>Low</v>
      </c>
    </row>
    <row r="234" spans="1:27">
      <c r="A234" t="s">
        <v>366</v>
      </c>
      <c r="B234" s="15">
        <v>45998</v>
      </c>
      <c r="C234" s="15">
        <v>46004</v>
      </c>
      <c r="D234" t="s">
        <v>157</v>
      </c>
      <c r="E234" t="s">
        <v>106</v>
      </c>
      <c r="F234" t="s">
        <v>149</v>
      </c>
      <c r="G234" t="s">
        <v>125</v>
      </c>
      <c r="H234" t="s">
        <v>86</v>
      </c>
      <c r="I234" s="17">
        <v>2</v>
      </c>
      <c r="J234" s="16">
        <v>0</v>
      </c>
      <c r="K234" t="s">
        <v>140</v>
      </c>
      <c r="L234" t="s">
        <v>126</v>
      </c>
      <c r="M234" s="17">
        <v>3</v>
      </c>
      <c r="N234" t="str" cm="1">
        <f t="array" ref="N234">_xlfn.XLOOKUP(RawSalesTable5[[#This Row],[Product_Code]],ProductLookupTable[[#All],[Product_Code]],ProductLookupTable[[#All],[Product_Name]],"NOT FOUND")</f>
        <v>Portable HDD 2TB</v>
      </c>
      <c r="O234" t="str" cm="1">
        <f t="array" ref="O234">_xlfn.XLOOKUP(RawSalesTable5[[#This Row],[Product_Code]],ProductLookupTable[[#All],[Product_Code]],ProductLookupTable[[#All],[Category]],"NOT FOUND")</f>
        <v>Storage</v>
      </c>
      <c r="P234" cm="1">
        <f t="array" ref="P234">_xlfn.XLOOKUP(RawSalesTable5[[#This Row],[Product_Code]],ProductLookupTable[[#All],[Product_Code]],ProductLookupTable[[#All],[Unit_Price]],"NOT FOUND")</f>
        <v>5899</v>
      </c>
      <c r="Q234" t="str">
        <f>IF(COUNTIF(ProductLookupTable[Product_Code],RawSalesTable5[[#This Row],[Product_Code]])=0,"Missing Product","OK")</f>
        <v>OK</v>
      </c>
      <c r="R234" cm="1">
        <f t="array" ref="R234">_xlfn.XLOOKUP(RawSalesTable5[[#This Row],[Product_Code]],ProductLookupTable[[#All],[Product_Code]],ProductLookupTable[[#All],[Unit_Cost]],"NOT FOUND")</f>
        <v>4100</v>
      </c>
      <c r="S234">
        <f>IFERROR(RawSalesTable5[[#This Row],[Quantity]]*RawSalesTable5[[#This Row],[Unit_Price]],"NOT FOUND")</f>
        <v>11798</v>
      </c>
      <c r="T234">
        <f>IFERROR(RawSalesTable5[[#This Row],[Gross_Revenue]]*RawSalesTable5[[#This Row],[Discount_Pct]],"NOT FOUND")</f>
        <v>0</v>
      </c>
      <c r="U234">
        <f>IFERROR(RawSalesTable5[[#This Row],[Gross_Revenue]]-RawSalesTable5[[#This Row],[Discount_Value]],"NOT FOUND")</f>
        <v>11798</v>
      </c>
      <c r="V234">
        <f>IFERROR(RawSalesTable5[[#This Row],[Quantity]]*RawSalesTable5[[#This Row],[Unit_Cost]],"NOT FOUND")</f>
        <v>8200</v>
      </c>
      <c r="W234">
        <f>IFERROR(RawSalesTable5[[#This Row],[Net_Revenue]]-RawSalesTable5[[#This Row],[Cost]],"NOT FOUND")</f>
        <v>3598</v>
      </c>
      <c r="X234" s="27">
        <f>IF(RawSalesTable5[[#This Row],[Lookup_Status]]="Missing Product","",IFERROR(RawSalesTable5[[#This Row],[Profit]]/RawSalesTable5[[#This Row],[Net_Revenue]],0))</f>
        <v>0.30496694354975418</v>
      </c>
      <c r="Y234">
        <f>RawSalesTable5[[#This Row],[Ship_Date]]-RawSalesTable5[[#This Row],[Order_Date]]</f>
        <v>6</v>
      </c>
      <c r="Z234" s="28">
        <f>DATE(YEAR(RawSalesTable5[[#This Row],[Order_Date]]),MONTH(RawSalesTable5[[#This Row],[Order_Date]]),1)</f>
        <v>45992</v>
      </c>
      <c r="AA234" t="str" cm="1">
        <f t="array" ref="AA234">IF(RawSalesTable5[[#This Row],[Lookup_Status]]="Missing Product","",_xlfn.IFS(RawSalesTable5[[#This Row],[Net_Revenue]]&gt;=20000,"High",RawSalesTable5[[#This Row],[Net_Revenue]]&gt;=10000,"Medium",TRUE,"Low"))</f>
        <v>Medium</v>
      </c>
    </row>
    <row r="235" spans="1:27">
      <c r="A235" t="s">
        <v>367</v>
      </c>
      <c r="B235" s="15">
        <v>45954</v>
      </c>
      <c r="C235" s="15">
        <v>45955</v>
      </c>
      <c r="D235" t="s">
        <v>212</v>
      </c>
      <c r="E235" t="s">
        <v>111</v>
      </c>
      <c r="F235" t="s">
        <v>118</v>
      </c>
      <c r="G235" t="s">
        <v>86</v>
      </c>
      <c r="H235" t="s">
        <v>86</v>
      </c>
      <c r="I235" s="17">
        <v>5</v>
      </c>
      <c r="J235" s="16">
        <v>0</v>
      </c>
      <c r="K235" t="s">
        <v>140</v>
      </c>
      <c r="L235" t="s">
        <v>89</v>
      </c>
      <c r="M235" s="17">
        <v>5</v>
      </c>
      <c r="N235" t="str" cm="1">
        <f t="array" ref="N235">_xlfn.XLOOKUP(RawSalesTable5[[#This Row],[Product_Code]],ProductLookupTable[[#All],[Product_Code]],ProductLookupTable[[#All],[Product_Name]],"NOT FOUND")</f>
        <v>Mechanical Keyboard</v>
      </c>
      <c r="O235" t="str" cm="1">
        <f t="array" ref="O235">_xlfn.XLOOKUP(RawSalesTable5[[#This Row],[Product_Code]],ProductLookupTable[[#All],[Product_Code]],ProductLookupTable[[#All],[Category]],"NOT FOUND")</f>
        <v>Accessories</v>
      </c>
      <c r="P235" cm="1">
        <f t="array" ref="P235">_xlfn.XLOOKUP(RawSalesTable5[[#This Row],[Product_Code]],ProductLookupTable[[#All],[Product_Code]],ProductLookupTable[[#All],[Unit_Price]],"NOT FOUND")</f>
        <v>2499</v>
      </c>
      <c r="Q235" t="str">
        <f>IF(COUNTIF(ProductLookupTable[Product_Code],RawSalesTable5[[#This Row],[Product_Code]])=0,"Missing Product","OK")</f>
        <v>OK</v>
      </c>
      <c r="R235" cm="1">
        <f t="array" ref="R235">_xlfn.XLOOKUP(RawSalesTable5[[#This Row],[Product_Code]],ProductLookupTable[[#All],[Product_Code]],ProductLookupTable[[#All],[Unit_Cost]],"NOT FOUND")</f>
        <v>1450</v>
      </c>
      <c r="S235">
        <f>IFERROR(RawSalesTable5[[#This Row],[Quantity]]*RawSalesTable5[[#This Row],[Unit_Price]],"NOT FOUND")</f>
        <v>12495</v>
      </c>
      <c r="T235">
        <f>IFERROR(RawSalesTable5[[#This Row],[Gross_Revenue]]*RawSalesTable5[[#This Row],[Discount_Pct]],"NOT FOUND")</f>
        <v>0</v>
      </c>
      <c r="U235">
        <f>IFERROR(RawSalesTable5[[#This Row],[Gross_Revenue]]-RawSalesTable5[[#This Row],[Discount_Value]],"NOT FOUND")</f>
        <v>12495</v>
      </c>
      <c r="V235">
        <f>IFERROR(RawSalesTable5[[#This Row],[Quantity]]*RawSalesTable5[[#This Row],[Unit_Cost]],"NOT FOUND")</f>
        <v>7250</v>
      </c>
      <c r="W235">
        <f>IFERROR(RawSalesTable5[[#This Row],[Net_Revenue]]-RawSalesTable5[[#This Row],[Cost]],"NOT FOUND")</f>
        <v>5245</v>
      </c>
      <c r="X235" s="27">
        <f>IF(RawSalesTable5[[#This Row],[Lookup_Status]]="Missing Product","",IFERROR(RawSalesTable5[[#This Row],[Profit]]/RawSalesTable5[[#This Row],[Net_Revenue]],0))</f>
        <v>0.41976790716286516</v>
      </c>
      <c r="Y235">
        <f>RawSalesTable5[[#This Row],[Ship_Date]]-RawSalesTable5[[#This Row],[Order_Date]]</f>
        <v>1</v>
      </c>
      <c r="Z235" s="28">
        <f>DATE(YEAR(RawSalesTable5[[#This Row],[Order_Date]]),MONTH(RawSalesTable5[[#This Row],[Order_Date]]),1)</f>
        <v>45931</v>
      </c>
      <c r="AA235" t="str" cm="1">
        <f t="array" ref="AA235">IF(RawSalesTable5[[#This Row],[Lookup_Status]]="Missing Product","",_xlfn.IFS(RawSalesTable5[[#This Row],[Net_Revenue]]&gt;=20000,"High",RawSalesTable5[[#This Row],[Net_Revenue]]&gt;=10000,"Medium",TRUE,"Low"))</f>
        <v>Medium</v>
      </c>
    </row>
    <row r="236" spans="1:27">
      <c r="A236" t="s">
        <v>368</v>
      </c>
      <c r="B236" s="15">
        <v>45895</v>
      </c>
      <c r="C236" s="15">
        <v>45898</v>
      </c>
      <c r="D236" t="s">
        <v>123</v>
      </c>
      <c r="E236" t="s">
        <v>84</v>
      </c>
      <c r="F236" t="s">
        <v>102</v>
      </c>
      <c r="G236" t="s">
        <v>108</v>
      </c>
      <c r="H236" t="s">
        <v>86</v>
      </c>
      <c r="I236" s="17">
        <v>5</v>
      </c>
      <c r="J236" s="16">
        <v>0.15</v>
      </c>
      <c r="K236" t="s">
        <v>88</v>
      </c>
      <c r="L236" t="s">
        <v>89</v>
      </c>
      <c r="M236" s="17">
        <v>4</v>
      </c>
      <c r="N236" t="str" cm="1">
        <f t="array" ref="N236">_xlfn.XLOOKUP(RawSalesTable5[[#This Row],[Product_Code]],ProductLookupTable[[#All],[Product_Code]],ProductLookupTable[[#All],[Product_Name]],"NOT FOUND")</f>
        <v>SSD 1TB</v>
      </c>
      <c r="O236" t="str" cm="1">
        <f t="array" ref="O236">_xlfn.XLOOKUP(RawSalesTable5[[#This Row],[Product_Code]],ProductLookupTable[[#All],[Product_Code]],ProductLookupTable[[#All],[Category]],"NOT FOUND")</f>
        <v>Storage</v>
      </c>
      <c r="P236" cm="1">
        <f t="array" ref="P236">_xlfn.XLOOKUP(RawSalesTable5[[#This Row],[Product_Code]],ProductLookupTable[[#All],[Product_Code]],ProductLookupTable[[#All],[Unit_Price]],"NOT FOUND")</f>
        <v>6999</v>
      </c>
      <c r="Q236" t="str">
        <f>IF(COUNTIF(ProductLookupTable[Product_Code],RawSalesTable5[[#This Row],[Product_Code]])=0,"Missing Product","OK")</f>
        <v>OK</v>
      </c>
      <c r="R236" cm="1">
        <f t="array" ref="R236">_xlfn.XLOOKUP(RawSalesTable5[[#This Row],[Product_Code]],ProductLookupTable[[#All],[Product_Code]],ProductLookupTable[[#All],[Unit_Cost]],"NOT FOUND")</f>
        <v>4900</v>
      </c>
      <c r="S236">
        <f>IFERROR(RawSalesTable5[[#This Row],[Quantity]]*RawSalesTable5[[#This Row],[Unit_Price]],"NOT FOUND")</f>
        <v>34995</v>
      </c>
      <c r="T236">
        <f>IFERROR(RawSalesTable5[[#This Row],[Gross_Revenue]]*RawSalesTable5[[#This Row],[Discount_Pct]],"NOT FOUND")</f>
        <v>5249.25</v>
      </c>
      <c r="U236">
        <f>IFERROR(RawSalesTable5[[#This Row],[Gross_Revenue]]-RawSalesTable5[[#This Row],[Discount_Value]],"NOT FOUND")</f>
        <v>29745.75</v>
      </c>
      <c r="V236">
        <f>IFERROR(RawSalesTable5[[#This Row],[Quantity]]*RawSalesTable5[[#This Row],[Unit_Cost]],"NOT FOUND")</f>
        <v>24500</v>
      </c>
      <c r="W236">
        <f>IFERROR(RawSalesTable5[[#This Row],[Net_Revenue]]-RawSalesTable5[[#This Row],[Cost]],"NOT FOUND")</f>
        <v>5245.75</v>
      </c>
      <c r="X236" s="27">
        <f>IF(RawSalesTable5[[#This Row],[Lookup_Status]]="Missing Product","",IFERROR(RawSalesTable5[[#This Row],[Profit]]/RawSalesTable5[[#This Row],[Net_Revenue]],0))</f>
        <v>0.17635292436734659</v>
      </c>
      <c r="Y236">
        <f>RawSalesTable5[[#This Row],[Ship_Date]]-RawSalesTable5[[#This Row],[Order_Date]]</f>
        <v>3</v>
      </c>
      <c r="Z236" s="28">
        <f>DATE(YEAR(RawSalesTable5[[#This Row],[Order_Date]]),MONTH(RawSalesTable5[[#This Row],[Order_Date]]),1)</f>
        <v>45870</v>
      </c>
      <c r="AA236" t="str" cm="1">
        <f t="array" ref="AA236">IF(RawSalesTable5[[#This Row],[Lookup_Status]]="Missing Product","",_xlfn.IFS(RawSalesTable5[[#This Row],[Net_Revenue]]&gt;=20000,"High",RawSalesTable5[[#This Row],[Net_Revenue]]&gt;=10000,"Medium",TRUE,"Low"))</f>
        <v>High</v>
      </c>
    </row>
    <row r="237" spans="1:27">
      <c r="A237" t="s">
        <v>369</v>
      </c>
      <c r="B237" s="15">
        <v>45910</v>
      </c>
      <c r="C237" s="15">
        <v>45918</v>
      </c>
      <c r="D237" t="s">
        <v>83</v>
      </c>
      <c r="E237" t="s">
        <v>92</v>
      </c>
      <c r="F237" t="s">
        <v>118</v>
      </c>
      <c r="G237" t="s">
        <v>125</v>
      </c>
      <c r="H237" t="s">
        <v>103</v>
      </c>
      <c r="I237" s="17">
        <v>2</v>
      </c>
      <c r="J237" s="16">
        <v>0.1</v>
      </c>
      <c r="K237" t="s">
        <v>140</v>
      </c>
      <c r="L237" t="s">
        <v>89</v>
      </c>
      <c r="M237" s="17">
        <v>5</v>
      </c>
      <c r="N237" t="str" cm="1">
        <f t="array" ref="N237">_xlfn.XLOOKUP(RawSalesTable5[[#This Row],[Product_Code]],ProductLookupTable[[#All],[Product_Code]],ProductLookupTable[[#All],[Product_Name]],"NOT FOUND")</f>
        <v>Mechanical Keyboard</v>
      </c>
      <c r="O237" t="str" cm="1">
        <f t="array" ref="O237">_xlfn.XLOOKUP(RawSalesTable5[[#This Row],[Product_Code]],ProductLookupTable[[#All],[Product_Code]],ProductLookupTable[[#All],[Category]],"NOT FOUND")</f>
        <v>Accessories</v>
      </c>
      <c r="P237" cm="1">
        <f t="array" ref="P237">_xlfn.XLOOKUP(RawSalesTable5[[#This Row],[Product_Code]],ProductLookupTable[[#All],[Product_Code]],ProductLookupTable[[#All],[Unit_Price]],"NOT FOUND")</f>
        <v>2499</v>
      </c>
      <c r="Q237" t="str">
        <f>IF(COUNTIF(ProductLookupTable[Product_Code],RawSalesTable5[[#This Row],[Product_Code]])=0,"Missing Product","OK")</f>
        <v>OK</v>
      </c>
      <c r="R237" cm="1">
        <f t="array" ref="R237">_xlfn.XLOOKUP(RawSalesTable5[[#This Row],[Product_Code]],ProductLookupTable[[#All],[Product_Code]],ProductLookupTable[[#All],[Unit_Cost]],"NOT FOUND")</f>
        <v>1450</v>
      </c>
      <c r="S237">
        <f>IFERROR(RawSalesTable5[[#This Row],[Quantity]]*RawSalesTable5[[#This Row],[Unit_Price]],"NOT FOUND")</f>
        <v>4998</v>
      </c>
      <c r="T237">
        <f>IFERROR(RawSalesTable5[[#This Row],[Gross_Revenue]]*RawSalesTable5[[#This Row],[Discount_Pct]],"NOT FOUND")</f>
        <v>499.8</v>
      </c>
      <c r="U237">
        <f>IFERROR(RawSalesTable5[[#This Row],[Gross_Revenue]]-RawSalesTable5[[#This Row],[Discount_Value]],"NOT FOUND")</f>
        <v>4498.2</v>
      </c>
      <c r="V237">
        <f>IFERROR(RawSalesTable5[[#This Row],[Quantity]]*RawSalesTable5[[#This Row],[Unit_Cost]],"NOT FOUND")</f>
        <v>2900</v>
      </c>
      <c r="W237">
        <f>IFERROR(RawSalesTable5[[#This Row],[Net_Revenue]]-RawSalesTable5[[#This Row],[Cost]],"NOT FOUND")</f>
        <v>1598.1999999999998</v>
      </c>
      <c r="X237" s="27">
        <f>IF(RawSalesTable5[[#This Row],[Lookup_Status]]="Missing Product","",IFERROR(RawSalesTable5[[#This Row],[Profit]]/RawSalesTable5[[#This Row],[Net_Revenue]],0))</f>
        <v>0.35529767462540568</v>
      </c>
      <c r="Y237">
        <f>RawSalesTable5[[#This Row],[Ship_Date]]-RawSalesTable5[[#This Row],[Order_Date]]</f>
        <v>8</v>
      </c>
      <c r="Z237" s="28">
        <f>DATE(YEAR(RawSalesTable5[[#This Row],[Order_Date]]),MONTH(RawSalesTable5[[#This Row],[Order_Date]]),1)</f>
        <v>45901</v>
      </c>
      <c r="AA237" t="str" cm="1">
        <f t="array" ref="AA237">IF(RawSalesTable5[[#This Row],[Lookup_Status]]="Missing Product","",_xlfn.IFS(RawSalesTable5[[#This Row],[Net_Revenue]]&gt;=20000,"High",RawSalesTable5[[#This Row],[Net_Revenue]]&gt;=10000,"Medium",TRUE,"Low"))</f>
        <v>Low</v>
      </c>
    </row>
    <row r="238" spans="1:27">
      <c r="A238" t="s">
        <v>370</v>
      </c>
      <c r="B238" s="15">
        <v>45977</v>
      </c>
      <c r="C238" s="15">
        <v>45983</v>
      </c>
      <c r="D238" t="s">
        <v>114</v>
      </c>
      <c r="E238" t="s">
        <v>98</v>
      </c>
      <c r="F238" t="s">
        <v>121</v>
      </c>
      <c r="G238" t="s">
        <v>86</v>
      </c>
      <c r="H238" t="s">
        <v>86</v>
      </c>
      <c r="I238" s="17">
        <v>5</v>
      </c>
      <c r="J238" s="16">
        <v>0.2</v>
      </c>
      <c r="K238" t="s">
        <v>140</v>
      </c>
      <c r="L238" t="s">
        <v>89</v>
      </c>
      <c r="M238" s="17">
        <v>3</v>
      </c>
      <c r="N238" t="str" cm="1">
        <f t="array" ref="N238">_xlfn.XLOOKUP(RawSalesTable5[[#This Row],[Product_Code]],ProductLookupTable[[#All],[Product_Code]],ProductLookupTable[[#All],[Product_Name]],"NOT FOUND")</f>
        <v>HD Webcam</v>
      </c>
      <c r="O238" t="str" cm="1">
        <f t="array" ref="O238">_xlfn.XLOOKUP(RawSalesTable5[[#This Row],[Product_Code]],ProductLookupTable[[#All],[Product_Code]],ProductLookupTable[[#All],[Category]],"NOT FOUND")</f>
        <v>Accessories</v>
      </c>
      <c r="P238" cm="1">
        <f t="array" ref="P238">_xlfn.XLOOKUP(RawSalesTable5[[#This Row],[Product_Code]],ProductLookupTable[[#All],[Product_Code]],ProductLookupTable[[#All],[Unit_Price]],"NOT FOUND")</f>
        <v>2899</v>
      </c>
      <c r="Q238" t="str">
        <f>IF(COUNTIF(ProductLookupTable[Product_Code],RawSalesTable5[[#This Row],[Product_Code]])=0,"Missing Product","OK")</f>
        <v>OK</v>
      </c>
      <c r="R238" cm="1">
        <f t="array" ref="R238">_xlfn.XLOOKUP(RawSalesTable5[[#This Row],[Product_Code]],ProductLookupTable[[#All],[Product_Code]],ProductLookupTable[[#All],[Unit_Cost]],"NOT FOUND")</f>
        <v>1700</v>
      </c>
      <c r="S238">
        <f>IFERROR(RawSalesTable5[[#This Row],[Quantity]]*RawSalesTable5[[#This Row],[Unit_Price]],"NOT FOUND")</f>
        <v>14495</v>
      </c>
      <c r="T238">
        <f>IFERROR(RawSalesTable5[[#This Row],[Gross_Revenue]]*RawSalesTable5[[#This Row],[Discount_Pct]],"NOT FOUND")</f>
        <v>2899</v>
      </c>
      <c r="U238">
        <f>IFERROR(RawSalesTable5[[#This Row],[Gross_Revenue]]-RawSalesTable5[[#This Row],[Discount_Value]],"NOT FOUND")</f>
        <v>11596</v>
      </c>
      <c r="V238">
        <f>IFERROR(RawSalesTable5[[#This Row],[Quantity]]*RawSalesTable5[[#This Row],[Unit_Cost]],"NOT FOUND")</f>
        <v>8500</v>
      </c>
      <c r="W238">
        <f>IFERROR(RawSalesTable5[[#This Row],[Net_Revenue]]-RawSalesTable5[[#This Row],[Cost]],"NOT FOUND")</f>
        <v>3096</v>
      </c>
      <c r="X238" s="27">
        <f>IF(RawSalesTable5[[#This Row],[Lookup_Status]]="Missing Product","",IFERROR(RawSalesTable5[[#This Row],[Profit]]/RawSalesTable5[[#This Row],[Net_Revenue]],0))</f>
        <v>0.2669886167644015</v>
      </c>
      <c r="Y238">
        <f>RawSalesTable5[[#This Row],[Ship_Date]]-RawSalesTable5[[#This Row],[Order_Date]]</f>
        <v>6</v>
      </c>
      <c r="Z238" s="28">
        <f>DATE(YEAR(RawSalesTable5[[#This Row],[Order_Date]]),MONTH(RawSalesTable5[[#This Row],[Order_Date]]),1)</f>
        <v>45962</v>
      </c>
      <c r="AA238" t="str" cm="1">
        <f t="array" ref="AA238">IF(RawSalesTable5[[#This Row],[Lookup_Status]]="Missing Product","",_xlfn.IFS(RawSalesTable5[[#This Row],[Net_Revenue]]&gt;=20000,"High",RawSalesTable5[[#This Row],[Net_Revenue]]&gt;=10000,"Medium",TRUE,"Low"))</f>
        <v>Medium</v>
      </c>
    </row>
    <row r="239" spans="1:27">
      <c r="A239" t="s">
        <v>371</v>
      </c>
      <c r="B239" s="15">
        <v>45872</v>
      </c>
      <c r="C239" s="15">
        <v>45875</v>
      </c>
      <c r="D239" t="s">
        <v>157</v>
      </c>
      <c r="E239" t="s">
        <v>101</v>
      </c>
      <c r="F239" t="s">
        <v>124</v>
      </c>
      <c r="G239" t="s">
        <v>125</v>
      </c>
      <c r="H239" t="s">
        <v>103</v>
      </c>
      <c r="I239" s="17">
        <v>1</v>
      </c>
      <c r="J239" s="16">
        <v>0</v>
      </c>
      <c r="K239" t="s">
        <v>140</v>
      </c>
      <c r="L239" t="s">
        <v>89</v>
      </c>
      <c r="M239" s="17">
        <v>3</v>
      </c>
      <c r="N239" t="str" cm="1">
        <f t="array" ref="N239">_xlfn.XLOOKUP(RawSalesTable5[[#This Row],[Product_Code]],ProductLookupTable[[#All],[Product_Code]],ProductLookupTable[[#All],[Product_Name]],"NOT FOUND")</f>
        <v>Wireless Mouse</v>
      </c>
      <c r="O239" t="str" cm="1">
        <f t="array" ref="O239">_xlfn.XLOOKUP(RawSalesTable5[[#This Row],[Product_Code]],ProductLookupTable[[#All],[Product_Code]],ProductLookupTable[[#All],[Category]],"NOT FOUND")</f>
        <v>Accessories</v>
      </c>
      <c r="P239" cm="1">
        <f t="array" ref="P239">_xlfn.XLOOKUP(RawSalesTable5[[#This Row],[Product_Code]],ProductLookupTable[[#All],[Product_Code]],ProductLookupTable[[#All],[Unit_Price]],"NOT FOUND")</f>
        <v>799</v>
      </c>
      <c r="Q239" t="str">
        <f>IF(COUNTIF(ProductLookupTable[Product_Code],RawSalesTable5[[#This Row],[Product_Code]])=0,"Missing Product","OK")</f>
        <v>OK</v>
      </c>
      <c r="R239" cm="1">
        <f t="array" ref="R239">_xlfn.XLOOKUP(RawSalesTable5[[#This Row],[Product_Code]],ProductLookupTable[[#All],[Product_Code]],ProductLookupTable[[#All],[Unit_Cost]],"NOT FOUND")</f>
        <v>420</v>
      </c>
      <c r="S239">
        <f>IFERROR(RawSalesTable5[[#This Row],[Quantity]]*RawSalesTable5[[#This Row],[Unit_Price]],"NOT FOUND")</f>
        <v>799</v>
      </c>
      <c r="T239">
        <f>IFERROR(RawSalesTable5[[#This Row],[Gross_Revenue]]*RawSalesTable5[[#This Row],[Discount_Pct]],"NOT FOUND")</f>
        <v>0</v>
      </c>
      <c r="U239">
        <f>IFERROR(RawSalesTable5[[#This Row],[Gross_Revenue]]-RawSalesTable5[[#This Row],[Discount_Value]],"NOT FOUND")</f>
        <v>799</v>
      </c>
      <c r="V239">
        <f>IFERROR(RawSalesTable5[[#This Row],[Quantity]]*RawSalesTable5[[#This Row],[Unit_Cost]],"NOT FOUND")</f>
        <v>420</v>
      </c>
      <c r="W239">
        <f>IFERROR(RawSalesTable5[[#This Row],[Net_Revenue]]-RawSalesTable5[[#This Row],[Cost]],"NOT FOUND")</f>
        <v>379</v>
      </c>
      <c r="X239" s="27">
        <f>IF(RawSalesTable5[[#This Row],[Lookup_Status]]="Missing Product","",IFERROR(RawSalesTable5[[#This Row],[Profit]]/RawSalesTable5[[#This Row],[Net_Revenue]],0))</f>
        <v>0.47434292866082606</v>
      </c>
      <c r="Y239">
        <f>RawSalesTable5[[#This Row],[Ship_Date]]-RawSalesTable5[[#This Row],[Order_Date]]</f>
        <v>3</v>
      </c>
      <c r="Z239" s="28">
        <f>DATE(YEAR(RawSalesTable5[[#This Row],[Order_Date]]),MONTH(RawSalesTable5[[#This Row],[Order_Date]]),1)</f>
        <v>45870</v>
      </c>
      <c r="AA239" t="str" cm="1">
        <f t="array" ref="AA239">IF(RawSalesTable5[[#This Row],[Lookup_Status]]="Missing Product","",_xlfn.IFS(RawSalesTable5[[#This Row],[Net_Revenue]]&gt;=20000,"High",RawSalesTable5[[#This Row],[Net_Revenue]]&gt;=10000,"Medium",TRUE,"Low"))</f>
        <v>Low</v>
      </c>
    </row>
    <row r="240" spans="1:27">
      <c r="A240" t="s">
        <v>372</v>
      </c>
      <c r="B240" s="15">
        <v>45814</v>
      </c>
      <c r="C240" s="15">
        <v>45819</v>
      </c>
      <c r="D240" t="s">
        <v>212</v>
      </c>
      <c r="E240" t="s">
        <v>106</v>
      </c>
      <c r="F240" t="s">
        <v>121</v>
      </c>
      <c r="G240" t="s">
        <v>86</v>
      </c>
      <c r="H240" t="s">
        <v>103</v>
      </c>
      <c r="I240" s="17">
        <v>1</v>
      </c>
      <c r="J240" s="16">
        <v>0.2</v>
      </c>
      <c r="K240" t="s">
        <v>88</v>
      </c>
      <c r="L240" t="s">
        <v>89</v>
      </c>
      <c r="M240" s="17">
        <v>5</v>
      </c>
      <c r="N240" t="str" cm="1">
        <f t="array" ref="N240">_xlfn.XLOOKUP(RawSalesTable5[[#This Row],[Product_Code]],ProductLookupTable[[#All],[Product_Code]],ProductLookupTable[[#All],[Product_Name]],"NOT FOUND")</f>
        <v>HD Webcam</v>
      </c>
      <c r="O240" t="str" cm="1">
        <f t="array" ref="O240">_xlfn.XLOOKUP(RawSalesTable5[[#This Row],[Product_Code]],ProductLookupTable[[#All],[Product_Code]],ProductLookupTable[[#All],[Category]],"NOT FOUND")</f>
        <v>Accessories</v>
      </c>
      <c r="P240" cm="1">
        <f t="array" ref="P240">_xlfn.XLOOKUP(RawSalesTable5[[#This Row],[Product_Code]],ProductLookupTable[[#All],[Product_Code]],ProductLookupTable[[#All],[Unit_Price]],"NOT FOUND")</f>
        <v>2899</v>
      </c>
      <c r="Q240" t="str">
        <f>IF(COUNTIF(ProductLookupTable[Product_Code],RawSalesTable5[[#This Row],[Product_Code]])=0,"Missing Product","OK")</f>
        <v>OK</v>
      </c>
      <c r="R240" cm="1">
        <f t="array" ref="R240">_xlfn.XLOOKUP(RawSalesTable5[[#This Row],[Product_Code]],ProductLookupTable[[#All],[Product_Code]],ProductLookupTable[[#All],[Unit_Cost]],"NOT FOUND")</f>
        <v>1700</v>
      </c>
      <c r="S240">
        <f>IFERROR(RawSalesTable5[[#This Row],[Quantity]]*RawSalesTable5[[#This Row],[Unit_Price]],"NOT FOUND")</f>
        <v>2899</v>
      </c>
      <c r="T240">
        <f>IFERROR(RawSalesTable5[[#This Row],[Gross_Revenue]]*RawSalesTable5[[#This Row],[Discount_Pct]],"NOT FOUND")</f>
        <v>579.80000000000007</v>
      </c>
      <c r="U240">
        <f>IFERROR(RawSalesTable5[[#This Row],[Gross_Revenue]]-RawSalesTable5[[#This Row],[Discount_Value]],"NOT FOUND")</f>
        <v>2319.1999999999998</v>
      </c>
      <c r="V240">
        <f>IFERROR(RawSalesTable5[[#This Row],[Quantity]]*RawSalesTable5[[#This Row],[Unit_Cost]],"NOT FOUND")</f>
        <v>1700</v>
      </c>
      <c r="W240">
        <f>IFERROR(RawSalesTable5[[#This Row],[Net_Revenue]]-RawSalesTable5[[#This Row],[Cost]],"NOT FOUND")</f>
        <v>619.19999999999982</v>
      </c>
      <c r="X240" s="27">
        <f>IF(RawSalesTable5[[#This Row],[Lookup_Status]]="Missing Product","",IFERROR(RawSalesTable5[[#This Row],[Profit]]/RawSalesTable5[[#This Row],[Net_Revenue]],0))</f>
        <v>0.26698861676440144</v>
      </c>
      <c r="Y240">
        <f>RawSalesTable5[[#This Row],[Ship_Date]]-RawSalesTable5[[#This Row],[Order_Date]]</f>
        <v>5</v>
      </c>
      <c r="Z240" s="28">
        <f>DATE(YEAR(RawSalesTable5[[#This Row],[Order_Date]]),MONTH(RawSalesTable5[[#This Row],[Order_Date]]),1)</f>
        <v>45809</v>
      </c>
      <c r="AA240" t="str" cm="1">
        <f t="array" ref="AA240">IF(RawSalesTable5[[#This Row],[Lookup_Status]]="Missing Product","",_xlfn.IFS(RawSalesTable5[[#This Row],[Net_Revenue]]&gt;=20000,"High",RawSalesTable5[[#This Row],[Net_Revenue]]&gt;=10000,"Medium",TRUE,"Low"))</f>
        <v>Low</v>
      </c>
    </row>
    <row r="241" spans="1:27">
      <c r="A241" t="s">
        <v>373</v>
      </c>
      <c r="B241" s="15">
        <v>45901</v>
      </c>
      <c r="C241" s="15">
        <v>45905</v>
      </c>
      <c r="D241" t="s">
        <v>123</v>
      </c>
      <c r="E241" t="s">
        <v>111</v>
      </c>
      <c r="F241" t="s">
        <v>115</v>
      </c>
      <c r="G241" t="s">
        <v>94</v>
      </c>
      <c r="H241" t="s">
        <v>87</v>
      </c>
      <c r="I241" s="17">
        <v>3</v>
      </c>
      <c r="J241" s="16">
        <v>0.15</v>
      </c>
      <c r="K241" t="s">
        <v>112</v>
      </c>
      <c r="L241" t="s">
        <v>89</v>
      </c>
      <c r="M241" s="17">
        <v>4</v>
      </c>
      <c r="N241" t="str" cm="1">
        <f t="array" ref="N241">_xlfn.XLOOKUP(RawSalesTable5[[#This Row],[Product_Code]],ProductLookupTable[[#All],[Product_Code]],ProductLookupTable[[#All],[Product_Name]],"NOT FOUND")</f>
        <v>USB-C Hub</v>
      </c>
      <c r="O241" t="str" cm="1">
        <f t="array" ref="O241">_xlfn.XLOOKUP(RawSalesTable5[[#This Row],[Product_Code]],ProductLookupTable[[#All],[Product_Code]],ProductLookupTable[[#All],[Category]],"NOT FOUND")</f>
        <v>Accessories</v>
      </c>
      <c r="P241" cm="1">
        <f t="array" ref="P241">_xlfn.XLOOKUP(RawSalesTable5[[#This Row],[Product_Code]],ProductLookupTable[[#All],[Product_Code]],ProductLookupTable[[#All],[Unit_Price]],"NOT FOUND")</f>
        <v>1599</v>
      </c>
      <c r="Q241" t="str">
        <f>IF(COUNTIF(ProductLookupTable[Product_Code],RawSalesTable5[[#This Row],[Product_Code]])=0,"Missing Product","OK")</f>
        <v>OK</v>
      </c>
      <c r="R241" cm="1">
        <f t="array" ref="R241">_xlfn.XLOOKUP(RawSalesTable5[[#This Row],[Product_Code]],ProductLookupTable[[#All],[Product_Code]],ProductLookupTable[[#All],[Unit_Cost]],"NOT FOUND")</f>
        <v>870</v>
      </c>
      <c r="S241">
        <f>IFERROR(RawSalesTable5[[#This Row],[Quantity]]*RawSalesTable5[[#This Row],[Unit_Price]],"NOT FOUND")</f>
        <v>4797</v>
      </c>
      <c r="T241">
        <f>IFERROR(RawSalesTable5[[#This Row],[Gross_Revenue]]*RawSalesTable5[[#This Row],[Discount_Pct]],"NOT FOUND")</f>
        <v>719.55</v>
      </c>
      <c r="U241">
        <f>IFERROR(RawSalesTable5[[#This Row],[Gross_Revenue]]-RawSalesTable5[[#This Row],[Discount_Value]],"NOT FOUND")</f>
        <v>4077.45</v>
      </c>
      <c r="V241">
        <f>IFERROR(RawSalesTable5[[#This Row],[Quantity]]*RawSalesTable5[[#This Row],[Unit_Cost]],"NOT FOUND")</f>
        <v>2610</v>
      </c>
      <c r="W241">
        <f>IFERROR(RawSalesTable5[[#This Row],[Net_Revenue]]-RawSalesTable5[[#This Row],[Cost]],"NOT FOUND")</f>
        <v>1467.4499999999998</v>
      </c>
      <c r="X241" s="27">
        <f>IF(RawSalesTable5[[#This Row],[Lookup_Status]]="Missing Product","",IFERROR(RawSalesTable5[[#This Row],[Profit]]/RawSalesTable5[[#This Row],[Net_Revenue]],0))</f>
        <v>0.35989405142920206</v>
      </c>
      <c r="Y241">
        <f>RawSalesTable5[[#This Row],[Ship_Date]]-RawSalesTable5[[#This Row],[Order_Date]]</f>
        <v>4</v>
      </c>
      <c r="Z241" s="28">
        <f>DATE(YEAR(RawSalesTable5[[#This Row],[Order_Date]]),MONTH(RawSalesTable5[[#This Row],[Order_Date]]),1)</f>
        <v>45901</v>
      </c>
      <c r="AA241" t="str" cm="1">
        <f t="array" ref="AA241">IF(RawSalesTable5[[#This Row],[Lookup_Status]]="Missing Product","",_xlfn.IFS(RawSalesTable5[[#This Row],[Net_Revenue]]&gt;=20000,"High",RawSalesTable5[[#This Row],[Net_Revenue]]&gt;=10000,"Medium",TRUE,"Low"))</f>
        <v>Low</v>
      </c>
    </row>
    <row r="242" spans="1:27">
      <c r="A242" t="s">
        <v>374</v>
      </c>
      <c r="B242" s="15">
        <v>45729</v>
      </c>
      <c r="C242" s="15">
        <v>45732</v>
      </c>
      <c r="D242" t="s">
        <v>83</v>
      </c>
      <c r="E242" t="s">
        <v>84</v>
      </c>
      <c r="F242" t="s">
        <v>138</v>
      </c>
      <c r="G242" t="s">
        <v>86</v>
      </c>
      <c r="H242" t="s">
        <v>86</v>
      </c>
      <c r="I242" s="17">
        <v>5</v>
      </c>
      <c r="J242" s="16">
        <v>0.1</v>
      </c>
      <c r="K242" t="s">
        <v>140</v>
      </c>
      <c r="L242" t="s">
        <v>89</v>
      </c>
      <c r="M242" s="17">
        <v>3</v>
      </c>
      <c r="N242" t="str" cm="1">
        <f t="array" ref="N242">_xlfn.XLOOKUP(RawSalesTable5[[#This Row],[Product_Code]],ProductLookupTable[[#All],[Product_Code]],ProductLookupTable[[#All],[Product_Name]],"NOT FOUND")</f>
        <v>24-inch Monitor</v>
      </c>
      <c r="O242" t="str" cm="1">
        <f t="array" ref="O242">_xlfn.XLOOKUP(RawSalesTable5[[#This Row],[Product_Code]],ProductLookupTable[[#All],[Product_Code]],ProductLookupTable[[#All],[Category]],"NOT FOUND")</f>
        <v>Displays</v>
      </c>
      <c r="P242" cm="1">
        <f t="array" ref="P242">_xlfn.XLOOKUP(RawSalesTable5[[#This Row],[Product_Code]],ProductLookupTable[[#All],[Product_Code]],ProductLookupTable[[#All],[Unit_Price]],"NOT FOUND")</f>
        <v>12999</v>
      </c>
      <c r="Q242" t="str">
        <f>IF(COUNTIF(ProductLookupTable[Product_Code],RawSalesTable5[[#This Row],[Product_Code]])=0,"Missing Product","OK")</f>
        <v>OK</v>
      </c>
      <c r="R242" cm="1">
        <f t="array" ref="R242">_xlfn.XLOOKUP(RawSalesTable5[[#This Row],[Product_Code]],ProductLookupTable[[#All],[Product_Code]],ProductLookupTable[[#All],[Unit_Cost]],"NOT FOUND")</f>
        <v>9100</v>
      </c>
      <c r="S242">
        <f>IFERROR(RawSalesTable5[[#This Row],[Quantity]]*RawSalesTable5[[#This Row],[Unit_Price]],"NOT FOUND")</f>
        <v>64995</v>
      </c>
      <c r="T242">
        <f>IFERROR(RawSalesTable5[[#This Row],[Gross_Revenue]]*RawSalesTable5[[#This Row],[Discount_Pct]],"NOT FOUND")</f>
        <v>6499.5</v>
      </c>
      <c r="U242">
        <f>IFERROR(RawSalesTable5[[#This Row],[Gross_Revenue]]-RawSalesTable5[[#This Row],[Discount_Value]],"NOT FOUND")</f>
        <v>58495.5</v>
      </c>
      <c r="V242">
        <f>IFERROR(RawSalesTable5[[#This Row],[Quantity]]*RawSalesTable5[[#This Row],[Unit_Cost]],"NOT FOUND")</f>
        <v>45500</v>
      </c>
      <c r="W242">
        <f>IFERROR(RawSalesTable5[[#This Row],[Net_Revenue]]-RawSalesTable5[[#This Row],[Cost]],"NOT FOUND")</f>
        <v>12995.5</v>
      </c>
      <c r="X242" s="27">
        <f>IF(RawSalesTable5[[#This Row],[Lookup_Status]]="Missing Product","",IFERROR(RawSalesTable5[[#This Row],[Profit]]/RawSalesTable5[[#This Row],[Net_Revenue]],0))</f>
        <v>0.22216238855980375</v>
      </c>
      <c r="Y242">
        <f>RawSalesTable5[[#This Row],[Ship_Date]]-RawSalesTable5[[#This Row],[Order_Date]]</f>
        <v>3</v>
      </c>
      <c r="Z242" s="28">
        <f>DATE(YEAR(RawSalesTable5[[#This Row],[Order_Date]]),MONTH(RawSalesTable5[[#This Row],[Order_Date]]),1)</f>
        <v>45717</v>
      </c>
      <c r="AA242" t="str" cm="1">
        <f t="array" ref="AA242">IF(RawSalesTable5[[#This Row],[Lookup_Status]]="Missing Product","",_xlfn.IFS(RawSalesTable5[[#This Row],[Net_Revenue]]&gt;=20000,"High",RawSalesTable5[[#This Row],[Net_Revenue]]&gt;=10000,"Medium",TRUE,"Low"))</f>
        <v>High</v>
      </c>
    </row>
    <row r="243" spans="1:27">
      <c r="A243" t="s">
        <v>375</v>
      </c>
      <c r="B243" s="15">
        <v>45778</v>
      </c>
      <c r="C243" s="15">
        <v>45784</v>
      </c>
      <c r="D243" t="s">
        <v>531</v>
      </c>
      <c r="E243" t="s">
        <v>92</v>
      </c>
      <c r="F243" t="s">
        <v>147</v>
      </c>
      <c r="G243" t="s">
        <v>125</v>
      </c>
      <c r="H243" t="s">
        <v>87</v>
      </c>
      <c r="I243" s="17">
        <v>3</v>
      </c>
      <c r="J243" s="16">
        <v>0</v>
      </c>
      <c r="K243" t="s">
        <v>140</v>
      </c>
      <c r="L243" t="s">
        <v>89</v>
      </c>
      <c r="M243" s="17">
        <v>5</v>
      </c>
      <c r="N243" t="str" cm="1">
        <f t="array" ref="N243">_xlfn.XLOOKUP(RawSalesTable5[[#This Row],[Product_Code]],ProductLookupTable[[#All],[Product_Code]],ProductLookupTable[[#All],[Product_Name]],"NOT FOUND")</f>
        <v>LED Desk Lamp</v>
      </c>
      <c r="O243" t="str" cm="1">
        <f t="array" ref="O243">_xlfn.XLOOKUP(RawSalesTable5[[#This Row],[Product_Code]],ProductLookupTable[[#All],[Product_Code]],ProductLookupTable[[#All],[Category]],"NOT FOUND")</f>
        <v>Furniture</v>
      </c>
      <c r="P243" cm="1">
        <f t="array" ref="P243">_xlfn.XLOOKUP(RawSalesTable5[[#This Row],[Product_Code]],ProductLookupTable[[#All],[Product_Code]],ProductLookupTable[[#All],[Unit_Price]],"NOT FOUND")</f>
        <v>1999</v>
      </c>
      <c r="Q243" t="str">
        <f>IF(COUNTIF(ProductLookupTable[Product_Code],RawSalesTable5[[#This Row],[Product_Code]])=0,"Missing Product","OK")</f>
        <v>OK</v>
      </c>
      <c r="R243" cm="1">
        <f t="array" ref="R243">_xlfn.XLOOKUP(RawSalesTable5[[#This Row],[Product_Code]],ProductLookupTable[[#All],[Product_Code]],ProductLookupTable[[#All],[Unit_Cost]],"NOT FOUND")</f>
        <v>1050</v>
      </c>
      <c r="S243">
        <f>IFERROR(RawSalesTable5[[#This Row],[Quantity]]*RawSalesTable5[[#This Row],[Unit_Price]],"NOT FOUND")</f>
        <v>5997</v>
      </c>
      <c r="T243">
        <f>IFERROR(RawSalesTable5[[#This Row],[Gross_Revenue]]*RawSalesTable5[[#This Row],[Discount_Pct]],"NOT FOUND")</f>
        <v>0</v>
      </c>
      <c r="U243">
        <f>IFERROR(RawSalesTable5[[#This Row],[Gross_Revenue]]-RawSalesTable5[[#This Row],[Discount_Value]],"NOT FOUND")</f>
        <v>5997</v>
      </c>
      <c r="V243">
        <f>IFERROR(RawSalesTable5[[#This Row],[Quantity]]*RawSalesTable5[[#This Row],[Unit_Cost]],"NOT FOUND")</f>
        <v>3150</v>
      </c>
      <c r="W243">
        <f>IFERROR(RawSalesTable5[[#This Row],[Net_Revenue]]-RawSalesTable5[[#This Row],[Cost]],"NOT FOUND")</f>
        <v>2847</v>
      </c>
      <c r="X243" s="27">
        <f>IF(RawSalesTable5[[#This Row],[Lookup_Status]]="Missing Product","",IFERROR(RawSalesTable5[[#This Row],[Profit]]/RawSalesTable5[[#This Row],[Net_Revenue]],0))</f>
        <v>0.47473736868434219</v>
      </c>
      <c r="Y243">
        <f>RawSalesTable5[[#This Row],[Ship_Date]]-RawSalesTable5[[#This Row],[Order_Date]]</f>
        <v>6</v>
      </c>
      <c r="Z243" s="28">
        <f>DATE(YEAR(RawSalesTable5[[#This Row],[Order_Date]]),MONTH(RawSalesTable5[[#This Row],[Order_Date]]),1)</f>
        <v>45778</v>
      </c>
      <c r="AA243" t="str" cm="1">
        <f t="array" ref="AA243">IF(RawSalesTable5[[#This Row],[Lookup_Status]]="Missing Product","",_xlfn.IFS(RawSalesTable5[[#This Row],[Net_Revenue]]&gt;=20000,"High",RawSalesTable5[[#This Row],[Net_Revenue]]&gt;=10000,"Medium",TRUE,"Low"))</f>
        <v>Low</v>
      </c>
    </row>
    <row r="244" spans="1:27">
      <c r="A244" t="s">
        <v>376</v>
      </c>
      <c r="B244" s="15">
        <v>45805</v>
      </c>
      <c r="C244" s="15">
        <v>45813</v>
      </c>
      <c r="D244" t="s">
        <v>157</v>
      </c>
      <c r="E244" t="s">
        <v>98</v>
      </c>
      <c r="F244" t="s">
        <v>107</v>
      </c>
      <c r="G244" t="s">
        <v>108</v>
      </c>
      <c r="H244" t="s">
        <v>103</v>
      </c>
      <c r="I244" s="17">
        <v>1</v>
      </c>
      <c r="J244" s="16">
        <v>0</v>
      </c>
      <c r="K244" t="s">
        <v>95</v>
      </c>
      <c r="L244" t="s">
        <v>89</v>
      </c>
      <c r="M244" s="17">
        <v>5</v>
      </c>
      <c r="N244" t="str" cm="1">
        <f t="array" ref="N244">_xlfn.XLOOKUP(RawSalesTable5[[#This Row],[Product_Code]],ProductLookupTable[[#All],[Product_Code]],ProductLookupTable[[#All],[Product_Name]],"NOT FOUND")</f>
        <v>Bluetooth Speaker</v>
      </c>
      <c r="O244" t="str" cm="1">
        <f t="array" ref="O244">_xlfn.XLOOKUP(RawSalesTable5[[#This Row],[Product_Code]],ProductLookupTable[[#All],[Product_Code]],ProductLookupTable[[#All],[Category]],"NOT FOUND")</f>
        <v>Audio</v>
      </c>
      <c r="P244" cm="1">
        <f t="array" ref="P244">_xlfn.XLOOKUP(RawSalesTable5[[#This Row],[Product_Code]],ProductLookupTable[[#All],[Product_Code]],ProductLookupTable[[#All],[Unit_Price]],"NOT FOUND")</f>
        <v>2799</v>
      </c>
      <c r="Q244" t="str">
        <f>IF(COUNTIF(ProductLookupTable[Product_Code],RawSalesTable5[[#This Row],[Product_Code]])=0,"Missing Product","OK")</f>
        <v>OK</v>
      </c>
      <c r="R244" cm="1">
        <f t="array" ref="R244">_xlfn.XLOOKUP(RawSalesTable5[[#This Row],[Product_Code]],ProductLookupTable[[#All],[Product_Code]],ProductLookupTable[[#All],[Unit_Cost]],"NOT FOUND")</f>
        <v>1650</v>
      </c>
      <c r="S244">
        <f>IFERROR(RawSalesTable5[[#This Row],[Quantity]]*RawSalesTable5[[#This Row],[Unit_Price]],"NOT FOUND")</f>
        <v>2799</v>
      </c>
      <c r="T244">
        <f>IFERROR(RawSalesTable5[[#This Row],[Gross_Revenue]]*RawSalesTable5[[#This Row],[Discount_Pct]],"NOT FOUND")</f>
        <v>0</v>
      </c>
      <c r="U244">
        <f>IFERROR(RawSalesTable5[[#This Row],[Gross_Revenue]]-RawSalesTable5[[#This Row],[Discount_Value]],"NOT FOUND")</f>
        <v>2799</v>
      </c>
      <c r="V244">
        <f>IFERROR(RawSalesTable5[[#This Row],[Quantity]]*RawSalesTable5[[#This Row],[Unit_Cost]],"NOT FOUND")</f>
        <v>1650</v>
      </c>
      <c r="W244">
        <f>IFERROR(RawSalesTable5[[#This Row],[Net_Revenue]]-RawSalesTable5[[#This Row],[Cost]],"NOT FOUND")</f>
        <v>1149</v>
      </c>
      <c r="X244" s="27">
        <f>IF(RawSalesTable5[[#This Row],[Lookup_Status]]="Missing Product","",IFERROR(RawSalesTable5[[#This Row],[Profit]]/RawSalesTable5[[#This Row],[Net_Revenue]],0))</f>
        <v>0.41050375133976419</v>
      </c>
      <c r="Y244">
        <f>RawSalesTable5[[#This Row],[Ship_Date]]-RawSalesTable5[[#This Row],[Order_Date]]</f>
        <v>8</v>
      </c>
      <c r="Z244" s="28">
        <f>DATE(YEAR(RawSalesTable5[[#This Row],[Order_Date]]),MONTH(RawSalesTable5[[#This Row],[Order_Date]]),1)</f>
        <v>45778</v>
      </c>
      <c r="AA244" t="str" cm="1">
        <f t="array" ref="AA244">IF(RawSalesTable5[[#This Row],[Lookup_Status]]="Missing Product","",_xlfn.IFS(RawSalesTable5[[#This Row],[Net_Revenue]]&gt;=20000,"High",RawSalesTable5[[#This Row],[Net_Revenue]]&gt;=10000,"Medium",TRUE,"Low"))</f>
        <v>Low</v>
      </c>
    </row>
    <row r="245" spans="1:27">
      <c r="A245" t="s">
        <v>377</v>
      </c>
      <c r="B245" s="15">
        <v>45900</v>
      </c>
      <c r="C245" s="15">
        <v>45903</v>
      </c>
      <c r="D245" t="s">
        <v>212</v>
      </c>
      <c r="E245" t="s">
        <v>101</v>
      </c>
      <c r="F245" t="s">
        <v>138</v>
      </c>
      <c r="G245" t="s">
        <v>108</v>
      </c>
      <c r="H245" t="s">
        <v>86</v>
      </c>
      <c r="I245" s="17">
        <v>1</v>
      </c>
      <c r="J245" s="16">
        <v>0.1</v>
      </c>
      <c r="K245" t="s">
        <v>140</v>
      </c>
      <c r="L245" t="s">
        <v>89</v>
      </c>
      <c r="M245" s="17">
        <v>3</v>
      </c>
      <c r="N245" t="str" cm="1">
        <f t="array" ref="N245">_xlfn.XLOOKUP(RawSalesTable5[[#This Row],[Product_Code]],ProductLookupTable[[#All],[Product_Code]],ProductLookupTable[[#All],[Product_Name]],"NOT FOUND")</f>
        <v>24-inch Monitor</v>
      </c>
      <c r="O245" t="str" cm="1">
        <f t="array" ref="O245">_xlfn.XLOOKUP(RawSalesTable5[[#This Row],[Product_Code]],ProductLookupTable[[#All],[Product_Code]],ProductLookupTable[[#All],[Category]],"NOT FOUND")</f>
        <v>Displays</v>
      </c>
      <c r="P245" cm="1">
        <f t="array" ref="P245">_xlfn.XLOOKUP(RawSalesTable5[[#This Row],[Product_Code]],ProductLookupTable[[#All],[Product_Code]],ProductLookupTable[[#All],[Unit_Price]],"NOT FOUND")</f>
        <v>12999</v>
      </c>
      <c r="Q245" t="str">
        <f>IF(COUNTIF(ProductLookupTable[Product_Code],RawSalesTable5[[#This Row],[Product_Code]])=0,"Missing Product","OK")</f>
        <v>OK</v>
      </c>
      <c r="R245" cm="1">
        <f t="array" ref="R245">_xlfn.XLOOKUP(RawSalesTable5[[#This Row],[Product_Code]],ProductLookupTable[[#All],[Product_Code]],ProductLookupTable[[#All],[Unit_Cost]],"NOT FOUND")</f>
        <v>9100</v>
      </c>
      <c r="S245">
        <f>IFERROR(RawSalesTable5[[#This Row],[Quantity]]*RawSalesTable5[[#This Row],[Unit_Price]],"NOT FOUND")</f>
        <v>12999</v>
      </c>
      <c r="T245">
        <f>IFERROR(RawSalesTable5[[#This Row],[Gross_Revenue]]*RawSalesTable5[[#This Row],[Discount_Pct]],"NOT FOUND")</f>
        <v>1299.9000000000001</v>
      </c>
      <c r="U245">
        <f>IFERROR(RawSalesTable5[[#This Row],[Gross_Revenue]]-RawSalesTable5[[#This Row],[Discount_Value]],"NOT FOUND")</f>
        <v>11699.1</v>
      </c>
      <c r="V245">
        <f>IFERROR(RawSalesTable5[[#This Row],[Quantity]]*RawSalesTable5[[#This Row],[Unit_Cost]],"NOT FOUND")</f>
        <v>9100</v>
      </c>
      <c r="W245">
        <f>IFERROR(RawSalesTable5[[#This Row],[Net_Revenue]]-RawSalesTable5[[#This Row],[Cost]],"NOT FOUND")</f>
        <v>2599.1000000000004</v>
      </c>
      <c r="X245" s="27">
        <f>IF(RawSalesTable5[[#This Row],[Lookup_Status]]="Missing Product","",IFERROR(RawSalesTable5[[#This Row],[Profit]]/RawSalesTable5[[#This Row],[Net_Revenue]],0))</f>
        <v>0.22216238855980378</v>
      </c>
      <c r="Y245">
        <f>RawSalesTable5[[#This Row],[Ship_Date]]-RawSalesTable5[[#This Row],[Order_Date]]</f>
        <v>3</v>
      </c>
      <c r="Z245" s="28">
        <f>DATE(YEAR(RawSalesTable5[[#This Row],[Order_Date]]),MONTH(RawSalesTable5[[#This Row],[Order_Date]]),1)</f>
        <v>45870</v>
      </c>
      <c r="AA245" t="str" cm="1">
        <f t="array" ref="AA245">IF(RawSalesTable5[[#This Row],[Lookup_Status]]="Missing Product","",_xlfn.IFS(RawSalesTable5[[#This Row],[Net_Revenue]]&gt;=20000,"High",RawSalesTable5[[#This Row],[Net_Revenue]]&gt;=10000,"Medium",TRUE,"Low"))</f>
        <v>Medium</v>
      </c>
    </row>
    <row r="246" spans="1:27">
      <c r="A246" t="s">
        <v>378</v>
      </c>
      <c r="B246" s="15">
        <v>45886</v>
      </c>
      <c r="C246" s="15">
        <v>45893</v>
      </c>
      <c r="D246" t="s">
        <v>123</v>
      </c>
      <c r="E246" t="s">
        <v>106</v>
      </c>
      <c r="F246" t="s">
        <v>102</v>
      </c>
      <c r="G246" t="s">
        <v>108</v>
      </c>
      <c r="H246" t="s">
        <v>86</v>
      </c>
      <c r="I246" s="17">
        <v>3</v>
      </c>
      <c r="J246" s="16">
        <v>0</v>
      </c>
      <c r="K246" t="s">
        <v>140</v>
      </c>
      <c r="L246" t="s">
        <v>89</v>
      </c>
      <c r="M246" s="17">
        <v>3</v>
      </c>
      <c r="N246" t="str" cm="1">
        <f t="array" ref="N246">_xlfn.XLOOKUP(RawSalesTable5[[#This Row],[Product_Code]],ProductLookupTable[[#All],[Product_Code]],ProductLookupTable[[#All],[Product_Name]],"NOT FOUND")</f>
        <v>SSD 1TB</v>
      </c>
      <c r="O246" t="str" cm="1">
        <f t="array" ref="O246">_xlfn.XLOOKUP(RawSalesTable5[[#This Row],[Product_Code]],ProductLookupTable[[#All],[Product_Code]],ProductLookupTable[[#All],[Category]],"NOT FOUND")</f>
        <v>Storage</v>
      </c>
      <c r="P246" cm="1">
        <f t="array" ref="P246">_xlfn.XLOOKUP(RawSalesTable5[[#This Row],[Product_Code]],ProductLookupTable[[#All],[Product_Code]],ProductLookupTable[[#All],[Unit_Price]],"NOT FOUND")</f>
        <v>6999</v>
      </c>
      <c r="Q246" t="str">
        <f>IF(COUNTIF(ProductLookupTable[Product_Code],RawSalesTable5[[#This Row],[Product_Code]])=0,"Missing Product","OK")</f>
        <v>OK</v>
      </c>
      <c r="R246" cm="1">
        <f t="array" ref="R246">_xlfn.XLOOKUP(RawSalesTable5[[#This Row],[Product_Code]],ProductLookupTable[[#All],[Product_Code]],ProductLookupTable[[#All],[Unit_Cost]],"NOT FOUND")</f>
        <v>4900</v>
      </c>
      <c r="S246">
        <f>IFERROR(RawSalesTable5[[#This Row],[Quantity]]*RawSalesTable5[[#This Row],[Unit_Price]],"NOT FOUND")</f>
        <v>20997</v>
      </c>
      <c r="T246">
        <f>IFERROR(RawSalesTable5[[#This Row],[Gross_Revenue]]*RawSalesTable5[[#This Row],[Discount_Pct]],"NOT FOUND")</f>
        <v>0</v>
      </c>
      <c r="U246">
        <f>IFERROR(RawSalesTable5[[#This Row],[Gross_Revenue]]-RawSalesTable5[[#This Row],[Discount_Value]],"NOT FOUND")</f>
        <v>20997</v>
      </c>
      <c r="V246">
        <f>IFERROR(RawSalesTable5[[#This Row],[Quantity]]*RawSalesTable5[[#This Row],[Unit_Cost]],"NOT FOUND")</f>
        <v>14700</v>
      </c>
      <c r="W246">
        <f>IFERROR(RawSalesTable5[[#This Row],[Net_Revenue]]-RawSalesTable5[[#This Row],[Cost]],"NOT FOUND")</f>
        <v>6297</v>
      </c>
      <c r="X246" s="27">
        <f>IF(RawSalesTable5[[#This Row],[Lookup_Status]]="Missing Product","",IFERROR(RawSalesTable5[[#This Row],[Profit]]/RawSalesTable5[[#This Row],[Net_Revenue]],0))</f>
        <v>0.29989998571224463</v>
      </c>
      <c r="Y246">
        <f>RawSalesTable5[[#This Row],[Ship_Date]]-RawSalesTable5[[#This Row],[Order_Date]]</f>
        <v>7</v>
      </c>
      <c r="Z246" s="28">
        <f>DATE(YEAR(RawSalesTable5[[#This Row],[Order_Date]]),MONTH(RawSalesTable5[[#This Row],[Order_Date]]),1)</f>
        <v>45870</v>
      </c>
      <c r="AA246" t="str" cm="1">
        <f t="array" ref="AA246">IF(RawSalesTable5[[#This Row],[Lookup_Status]]="Missing Product","",_xlfn.IFS(RawSalesTable5[[#This Row],[Net_Revenue]]&gt;=20000,"High",RawSalesTable5[[#This Row],[Net_Revenue]]&gt;=10000,"Medium",TRUE,"Low"))</f>
        <v>High</v>
      </c>
    </row>
    <row r="247" spans="1:27">
      <c r="A247" t="s">
        <v>379</v>
      </c>
      <c r="B247" s="15">
        <v>45857</v>
      </c>
      <c r="C247" s="15">
        <v>45860</v>
      </c>
      <c r="D247" t="s">
        <v>83</v>
      </c>
      <c r="E247" t="s">
        <v>111</v>
      </c>
      <c r="F247" t="s">
        <v>138</v>
      </c>
      <c r="G247" t="s">
        <v>86</v>
      </c>
      <c r="H247" t="s">
        <v>86</v>
      </c>
      <c r="I247" s="17">
        <v>3</v>
      </c>
      <c r="J247" s="16">
        <v>0</v>
      </c>
      <c r="K247" t="s">
        <v>140</v>
      </c>
      <c r="L247" t="s">
        <v>89</v>
      </c>
      <c r="M247" s="17">
        <v>3</v>
      </c>
      <c r="N247" t="str" cm="1">
        <f t="array" ref="N247">_xlfn.XLOOKUP(RawSalesTable5[[#This Row],[Product_Code]],ProductLookupTable[[#All],[Product_Code]],ProductLookupTable[[#All],[Product_Name]],"NOT FOUND")</f>
        <v>24-inch Monitor</v>
      </c>
      <c r="O247" t="str" cm="1">
        <f t="array" ref="O247">_xlfn.XLOOKUP(RawSalesTable5[[#This Row],[Product_Code]],ProductLookupTable[[#All],[Product_Code]],ProductLookupTable[[#All],[Category]],"NOT FOUND")</f>
        <v>Displays</v>
      </c>
      <c r="P247" cm="1">
        <f t="array" ref="P247">_xlfn.XLOOKUP(RawSalesTable5[[#This Row],[Product_Code]],ProductLookupTable[[#All],[Product_Code]],ProductLookupTable[[#All],[Unit_Price]],"NOT FOUND")</f>
        <v>12999</v>
      </c>
      <c r="Q247" t="str">
        <f>IF(COUNTIF(ProductLookupTable[Product_Code],RawSalesTable5[[#This Row],[Product_Code]])=0,"Missing Product","OK")</f>
        <v>OK</v>
      </c>
      <c r="R247" cm="1">
        <f t="array" ref="R247">_xlfn.XLOOKUP(RawSalesTable5[[#This Row],[Product_Code]],ProductLookupTable[[#All],[Product_Code]],ProductLookupTable[[#All],[Unit_Cost]],"NOT FOUND")</f>
        <v>9100</v>
      </c>
      <c r="S247">
        <f>IFERROR(RawSalesTable5[[#This Row],[Quantity]]*RawSalesTable5[[#This Row],[Unit_Price]],"NOT FOUND")</f>
        <v>38997</v>
      </c>
      <c r="T247">
        <f>IFERROR(RawSalesTable5[[#This Row],[Gross_Revenue]]*RawSalesTable5[[#This Row],[Discount_Pct]],"NOT FOUND")</f>
        <v>0</v>
      </c>
      <c r="U247">
        <f>IFERROR(RawSalesTable5[[#This Row],[Gross_Revenue]]-RawSalesTable5[[#This Row],[Discount_Value]],"NOT FOUND")</f>
        <v>38997</v>
      </c>
      <c r="V247">
        <f>IFERROR(RawSalesTable5[[#This Row],[Quantity]]*RawSalesTable5[[#This Row],[Unit_Cost]],"NOT FOUND")</f>
        <v>27300</v>
      </c>
      <c r="W247">
        <f>IFERROR(RawSalesTable5[[#This Row],[Net_Revenue]]-RawSalesTable5[[#This Row],[Cost]],"NOT FOUND")</f>
        <v>11697</v>
      </c>
      <c r="X247" s="27">
        <f>IF(RawSalesTable5[[#This Row],[Lookup_Status]]="Missing Product","",IFERROR(RawSalesTable5[[#This Row],[Profit]]/RawSalesTable5[[#This Row],[Net_Revenue]],0))</f>
        <v>0.29994614970382338</v>
      </c>
      <c r="Y247">
        <f>RawSalesTable5[[#This Row],[Ship_Date]]-RawSalesTable5[[#This Row],[Order_Date]]</f>
        <v>3</v>
      </c>
      <c r="Z247" s="28">
        <f>DATE(YEAR(RawSalesTable5[[#This Row],[Order_Date]]),MONTH(RawSalesTable5[[#This Row],[Order_Date]]),1)</f>
        <v>45839</v>
      </c>
      <c r="AA247" t="str" cm="1">
        <f t="array" ref="AA247">IF(RawSalesTable5[[#This Row],[Lookup_Status]]="Missing Product","",_xlfn.IFS(RawSalesTable5[[#This Row],[Net_Revenue]]&gt;=20000,"High",RawSalesTable5[[#This Row],[Net_Revenue]]&gt;=10000,"Medium",TRUE,"Low"))</f>
        <v>High</v>
      </c>
    </row>
    <row r="248" spans="1:27">
      <c r="A248" t="s">
        <v>380</v>
      </c>
      <c r="B248" s="15">
        <v>46014</v>
      </c>
      <c r="C248" s="15">
        <v>46021</v>
      </c>
      <c r="D248" t="s">
        <v>114</v>
      </c>
      <c r="E248" t="s">
        <v>84</v>
      </c>
      <c r="F248" t="s">
        <v>115</v>
      </c>
      <c r="G248" t="s">
        <v>125</v>
      </c>
      <c r="H248" t="s">
        <v>86</v>
      </c>
      <c r="I248" s="17">
        <v>3</v>
      </c>
      <c r="J248" s="16">
        <v>0.1</v>
      </c>
      <c r="K248" t="s">
        <v>95</v>
      </c>
      <c r="L248" t="s">
        <v>89</v>
      </c>
      <c r="M248" s="17">
        <v>4</v>
      </c>
      <c r="N248" t="str" cm="1">
        <f t="array" ref="N248">_xlfn.XLOOKUP(RawSalesTable5[[#This Row],[Product_Code]],ProductLookupTable[[#All],[Product_Code]],ProductLookupTable[[#All],[Product_Name]],"NOT FOUND")</f>
        <v>USB-C Hub</v>
      </c>
      <c r="O248" t="str" cm="1">
        <f t="array" ref="O248">_xlfn.XLOOKUP(RawSalesTable5[[#This Row],[Product_Code]],ProductLookupTable[[#All],[Product_Code]],ProductLookupTable[[#All],[Category]],"NOT FOUND")</f>
        <v>Accessories</v>
      </c>
      <c r="P248" cm="1">
        <f t="array" ref="P248">_xlfn.XLOOKUP(RawSalesTable5[[#This Row],[Product_Code]],ProductLookupTable[[#All],[Product_Code]],ProductLookupTable[[#All],[Unit_Price]],"NOT FOUND")</f>
        <v>1599</v>
      </c>
      <c r="Q248" t="str">
        <f>IF(COUNTIF(ProductLookupTable[Product_Code],RawSalesTable5[[#This Row],[Product_Code]])=0,"Missing Product","OK")</f>
        <v>OK</v>
      </c>
      <c r="R248" cm="1">
        <f t="array" ref="R248">_xlfn.XLOOKUP(RawSalesTable5[[#This Row],[Product_Code]],ProductLookupTable[[#All],[Product_Code]],ProductLookupTable[[#All],[Unit_Cost]],"NOT FOUND")</f>
        <v>870</v>
      </c>
      <c r="S248">
        <f>IFERROR(RawSalesTable5[[#This Row],[Quantity]]*RawSalesTable5[[#This Row],[Unit_Price]],"NOT FOUND")</f>
        <v>4797</v>
      </c>
      <c r="T248">
        <f>IFERROR(RawSalesTable5[[#This Row],[Gross_Revenue]]*RawSalesTable5[[#This Row],[Discount_Pct]],"NOT FOUND")</f>
        <v>479.70000000000005</v>
      </c>
      <c r="U248">
        <f>IFERROR(RawSalesTable5[[#This Row],[Gross_Revenue]]-RawSalesTable5[[#This Row],[Discount_Value]],"NOT FOUND")</f>
        <v>4317.3</v>
      </c>
      <c r="V248">
        <f>IFERROR(RawSalesTable5[[#This Row],[Quantity]]*RawSalesTable5[[#This Row],[Unit_Cost]],"NOT FOUND")</f>
        <v>2610</v>
      </c>
      <c r="W248">
        <f>IFERROR(RawSalesTable5[[#This Row],[Net_Revenue]]-RawSalesTable5[[#This Row],[Cost]],"NOT FOUND")</f>
        <v>1707.3000000000002</v>
      </c>
      <c r="X248" s="27">
        <f>IF(RawSalesTable5[[#This Row],[Lookup_Status]]="Missing Product","",IFERROR(RawSalesTable5[[#This Row],[Profit]]/RawSalesTable5[[#This Row],[Net_Revenue]],0))</f>
        <v>0.39545549301646865</v>
      </c>
      <c r="Y248">
        <f>RawSalesTable5[[#This Row],[Ship_Date]]-RawSalesTable5[[#This Row],[Order_Date]]</f>
        <v>7</v>
      </c>
      <c r="Z248" s="28">
        <f>DATE(YEAR(RawSalesTable5[[#This Row],[Order_Date]]),MONTH(RawSalesTable5[[#This Row],[Order_Date]]),1)</f>
        <v>45992</v>
      </c>
      <c r="AA248" t="str" cm="1">
        <f t="array" ref="AA248">IF(RawSalesTable5[[#This Row],[Lookup_Status]]="Missing Product","",_xlfn.IFS(RawSalesTable5[[#This Row],[Net_Revenue]]&gt;=20000,"High",RawSalesTable5[[#This Row],[Net_Revenue]]&gt;=10000,"Medium",TRUE,"Low"))</f>
        <v>Low</v>
      </c>
    </row>
    <row r="249" spans="1:27">
      <c r="A249" t="s">
        <v>381</v>
      </c>
      <c r="B249" s="15">
        <v>45760</v>
      </c>
      <c r="C249" s="15">
        <v>45763</v>
      </c>
      <c r="D249" t="s">
        <v>157</v>
      </c>
      <c r="E249" t="s">
        <v>92</v>
      </c>
      <c r="F249" t="s">
        <v>115</v>
      </c>
      <c r="G249" t="s">
        <v>108</v>
      </c>
      <c r="H249" t="s">
        <v>103</v>
      </c>
      <c r="I249" s="17">
        <v>5</v>
      </c>
      <c r="J249" s="16">
        <v>0.2</v>
      </c>
      <c r="K249" t="s">
        <v>140</v>
      </c>
      <c r="L249" t="s">
        <v>89</v>
      </c>
      <c r="M249" s="17">
        <v>5</v>
      </c>
      <c r="N249" t="str" cm="1">
        <f t="array" ref="N249">_xlfn.XLOOKUP(RawSalesTable5[[#This Row],[Product_Code]],ProductLookupTable[[#All],[Product_Code]],ProductLookupTable[[#All],[Product_Name]],"NOT FOUND")</f>
        <v>USB-C Hub</v>
      </c>
      <c r="O249" t="str" cm="1">
        <f t="array" ref="O249">_xlfn.XLOOKUP(RawSalesTable5[[#This Row],[Product_Code]],ProductLookupTable[[#All],[Product_Code]],ProductLookupTable[[#All],[Category]],"NOT FOUND")</f>
        <v>Accessories</v>
      </c>
      <c r="P249" cm="1">
        <f t="array" ref="P249">_xlfn.XLOOKUP(RawSalesTable5[[#This Row],[Product_Code]],ProductLookupTable[[#All],[Product_Code]],ProductLookupTable[[#All],[Unit_Price]],"NOT FOUND")</f>
        <v>1599</v>
      </c>
      <c r="Q249" t="str">
        <f>IF(COUNTIF(ProductLookupTable[Product_Code],RawSalesTable5[[#This Row],[Product_Code]])=0,"Missing Product","OK")</f>
        <v>OK</v>
      </c>
      <c r="R249" cm="1">
        <f t="array" ref="R249">_xlfn.XLOOKUP(RawSalesTable5[[#This Row],[Product_Code]],ProductLookupTable[[#All],[Product_Code]],ProductLookupTable[[#All],[Unit_Cost]],"NOT FOUND")</f>
        <v>870</v>
      </c>
      <c r="S249">
        <f>IFERROR(RawSalesTable5[[#This Row],[Quantity]]*RawSalesTable5[[#This Row],[Unit_Price]],"NOT FOUND")</f>
        <v>7995</v>
      </c>
      <c r="T249">
        <f>IFERROR(RawSalesTable5[[#This Row],[Gross_Revenue]]*RawSalesTable5[[#This Row],[Discount_Pct]],"NOT FOUND")</f>
        <v>1599</v>
      </c>
      <c r="U249">
        <f>IFERROR(RawSalesTable5[[#This Row],[Gross_Revenue]]-RawSalesTable5[[#This Row],[Discount_Value]],"NOT FOUND")</f>
        <v>6396</v>
      </c>
      <c r="V249">
        <f>IFERROR(RawSalesTable5[[#This Row],[Quantity]]*RawSalesTable5[[#This Row],[Unit_Cost]],"NOT FOUND")</f>
        <v>4350</v>
      </c>
      <c r="W249">
        <f>IFERROR(RawSalesTable5[[#This Row],[Net_Revenue]]-RawSalesTable5[[#This Row],[Cost]],"NOT FOUND")</f>
        <v>2046</v>
      </c>
      <c r="X249" s="27">
        <f>IF(RawSalesTable5[[#This Row],[Lookup_Status]]="Missing Product","",IFERROR(RawSalesTable5[[#This Row],[Profit]]/RawSalesTable5[[#This Row],[Net_Revenue]],0))</f>
        <v>0.31988742964352718</v>
      </c>
      <c r="Y249">
        <f>RawSalesTable5[[#This Row],[Ship_Date]]-RawSalesTable5[[#This Row],[Order_Date]]</f>
        <v>3</v>
      </c>
      <c r="Z249" s="28">
        <f>DATE(YEAR(RawSalesTable5[[#This Row],[Order_Date]]),MONTH(RawSalesTable5[[#This Row],[Order_Date]]),1)</f>
        <v>45748</v>
      </c>
      <c r="AA249" t="str" cm="1">
        <f t="array" ref="AA249">IF(RawSalesTable5[[#This Row],[Lookup_Status]]="Missing Product","",_xlfn.IFS(RawSalesTable5[[#This Row],[Net_Revenue]]&gt;=20000,"High",RawSalesTable5[[#This Row],[Net_Revenue]]&gt;=10000,"Medium",TRUE,"Low"))</f>
        <v>Low</v>
      </c>
    </row>
    <row r="250" spans="1:27">
      <c r="A250" t="s">
        <v>382</v>
      </c>
      <c r="B250" s="15">
        <v>45714</v>
      </c>
      <c r="C250" s="15">
        <v>45720</v>
      </c>
      <c r="D250" t="s">
        <v>212</v>
      </c>
      <c r="E250" t="s">
        <v>98</v>
      </c>
      <c r="F250" t="s">
        <v>93</v>
      </c>
      <c r="G250" t="s">
        <v>125</v>
      </c>
      <c r="H250" t="s">
        <v>103</v>
      </c>
      <c r="I250" s="17">
        <v>1</v>
      </c>
      <c r="J250" s="16">
        <v>0.15</v>
      </c>
      <c r="K250" t="s">
        <v>140</v>
      </c>
      <c r="L250" t="s">
        <v>89</v>
      </c>
      <c r="M250" s="17">
        <v>4</v>
      </c>
      <c r="N250" t="str" cm="1">
        <f t="array" ref="N250">_xlfn.XLOOKUP(RawSalesTable5[[#This Row],[Product_Code]],ProductLookupTable[[#All],[Product_Code]],ProductLookupTable[[#All],[Product_Name]],"NOT FOUND")</f>
        <v>Wireless Headset</v>
      </c>
      <c r="O250" t="str" cm="1">
        <f t="array" ref="O250">_xlfn.XLOOKUP(RawSalesTable5[[#This Row],[Product_Code]],ProductLookupTable[[#All],[Product_Code]],ProductLookupTable[[#All],[Category]],"NOT FOUND")</f>
        <v>Audio</v>
      </c>
      <c r="P250" cm="1">
        <f t="array" ref="P250">_xlfn.XLOOKUP(RawSalesTable5[[#This Row],[Product_Code]],ProductLookupTable[[#All],[Product_Code]],ProductLookupTable[[#All],[Unit_Price]],"NOT FOUND")</f>
        <v>3499</v>
      </c>
      <c r="Q250" t="str">
        <f>IF(COUNTIF(ProductLookupTable[Product_Code],RawSalesTable5[[#This Row],[Product_Code]])=0,"Missing Product","OK")</f>
        <v>OK</v>
      </c>
      <c r="R250" cm="1">
        <f t="array" ref="R250">_xlfn.XLOOKUP(RawSalesTable5[[#This Row],[Product_Code]],ProductLookupTable[[#All],[Product_Code]],ProductLookupTable[[#All],[Unit_Cost]],"NOT FOUND")</f>
        <v>2100</v>
      </c>
      <c r="S250">
        <f>IFERROR(RawSalesTable5[[#This Row],[Quantity]]*RawSalesTable5[[#This Row],[Unit_Price]],"NOT FOUND")</f>
        <v>3499</v>
      </c>
      <c r="T250">
        <f>IFERROR(RawSalesTable5[[#This Row],[Gross_Revenue]]*RawSalesTable5[[#This Row],[Discount_Pct]],"NOT FOUND")</f>
        <v>524.85</v>
      </c>
      <c r="U250">
        <f>IFERROR(RawSalesTable5[[#This Row],[Gross_Revenue]]-RawSalesTable5[[#This Row],[Discount_Value]],"NOT FOUND")</f>
        <v>2974.15</v>
      </c>
      <c r="V250">
        <f>IFERROR(RawSalesTable5[[#This Row],[Quantity]]*RawSalesTable5[[#This Row],[Unit_Cost]],"NOT FOUND")</f>
        <v>2100</v>
      </c>
      <c r="W250">
        <f>IFERROR(RawSalesTable5[[#This Row],[Net_Revenue]]-RawSalesTable5[[#This Row],[Cost]],"NOT FOUND")</f>
        <v>874.15000000000009</v>
      </c>
      <c r="X250" s="27">
        <f>IF(RawSalesTable5[[#This Row],[Lookup_Status]]="Missing Product","",IFERROR(RawSalesTable5[[#This Row],[Profit]]/RawSalesTable5[[#This Row],[Net_Revenue]],0))</f>
        <v>0.29391590874703699</v>
      </c>
      <c r="Y250">
        <f>RawSalesTable5[[#This Row],[Ship_Date]]-RawSalesTable5[[#This Row],[Order_Date]]</f>
        <v>6</v>
      </c>
      <c r="Z250" s="28">
        <f>DATE(YEAR(RawSalesTable5[[#This Row],[Order_Date]]),MONTH(RawSalesTable5[[#This Row],[Order_Date]]),1)</f>
        <v>45689</v>
      </c>
      <c r="AA250" t="str" cm="1">
        <f t="array" ref="AA250">IF(RawSalesTable5[[#This Row],[Lookup_Status]]="Missing Product","",_xlfn.IFS(RawSalesTable5[[#This Row],[Net_Revenue]]&gt;=20000,"High",RawSalesTable5[[#This Row],[Net_Revenue]]&gt;=10000,"Medium",TRUE,"Low"))</f>
        <v>Low</v>
      </c>
    </row>
    <row r="251" spans="1:27">
      <c r="A251" t="s">
        <v>383</v>
      </c>
      <c r="B251" s="15">
        <v>45776</v>
      </c>
      <c r="C251" s="15">
        <v>45778</v>
      </c>
      <c r="D251" t="s">
        <v>123</v>
      </c>
      <c r="E251" t="s">
        <v>101</v>
      </c>
      <c r="F251" t="s">
        <v>85</v>
      </c>
      <c r="G251" t="s">
        <v>86</v>
      </c>
      <c r="H251" t="s">
        <v>103</v>
      </c>
      <c r="I251" s="17">
        <v>5</v>
      </c>
      <c r="J251" s="16">
        <v>0</v>
      </c>
      <c r="K251" t="s">
        <v>95</v>
      </c>
      <c r="L251" t="s">
        <v>89</v>
      </c>
      <c r="M251" s="17">
        <v>5</v>
      </c>
      <c r="N251" t="str" cm="1">
        <f t="array" ref="N251">_xlfn.XLOOKUP(RawSalesTable5[[#This Row],[Product_Code]],ProductLookupTable[[#All],[Product_Code]],ProductLookupTable[[#All],[Product_Name]],"NOT FOUND")</f>
        <v>Ergonomic Chair</v>
      </c>
      <c r="O251" t="str" cm="1">
        <f t="array" ref="O251">_xlfn.XLOOKUP(RawSalesTable5[[#This Row],[Product_Code]],ProductLookupTable[[#All],[Product_Code]],ProductLookupTable[[#All],[Category]],"NOT FOUND")</f>
        <v>Furniture</v>
      </c>
      <c r="P251" cm="1">
        <f t="array" ref="P251">_xlfn.XLOOKUP(RawSalesTable5[[#This Row],[Product_Code]],ProductLookupTable[[#All],[Product_Code]],ProductLookupTable[[#All],[Unit_Price]],"NOT FOUND")</f>
        <v>10499</v>
      </c>
      <c r="Q251" t="str">
        <f>IF(COUNTIF(ProductLookupTable[Product_Code],RawSalesTable5[[#This Row],[Product_Code]])=0,"Missing Product","OK")</f>
        <v>OK</v>
      </c>
      <c r="R251" cm="1">
        <f t="array" ref="R251">_xlfn.XLOOKUP(RawSalesTable5[[#This Row],[Product_Code]],ProductLookupTable[[#All],[Product_Code]],ProductLookupTable[[#All],[Unit_Cost]],"NOT FOUND")</f>
        <v>7600</v>
      </c>
      <c r="S251">
        <f>IFERROR(RawSalesTable5[[#This Row],[Quantity]]*RawSalesTable5[[#This Row],[Unit_Price]],"NOT FOUND")</f>
        <v>52495</v>
      </c>
      <c r="T251">
        <f>IFERROR(RawSalesTable5[[#This Row],[Gross_Revenue]]*RawSalesTable5[[#This Row],[Discount_Pct]],"NOT FOUND")</f>
        <v>0</v>
      </c>
      <c r="U251">
        <f>IFERROR(RawSalesTable5[[#This Row],[Gross_Revenue]]-RawSalesTable5[[#This Row],[Discount_Value]],"NOT FOUND")</f>
        <v>52495</v>
      </c>
      <c r="V251">
        <f>IFERROR(RawSalesTable5[[#This Row],[Quantity]]*RawSalesTable5[[#This Row],[Unit_Cost]],"NOT FOUND")</f>
        <v>38000</v>
      </c>
      <c r="W251">
        <f>IFERROR(RawSalesTable5[[#This Row],[Net_Revenue]]-RawSalesTable5[[#This Row],[Cost]],"NOT FOUND")</f>
        <v>14495</v>
      </c>
      <c r="X251" s="27">
        <f>IF(RawSalesTable5[[#This Row],[Lookup_Status]]="Missing Product","",IFERROR(RawSalesTable5[[#This Row],[Profit]]/RawSalesTable5[[#This Row],[Net_Revenue]],0))</f>
        <v>0.27612153538432233</v>
      </c>
      <c r="Y251">
        <f>RawSalesTable5[[#This Row],[Ship_Date]]-RawSalesTable5[[#This Row],[Order_Date]]</f>
        <v>2</v>
      </c>
      <c r="Z251" s="28">
        <f>DATE(YEAR(RawSalesTable5[[#This Row],[Order_Date]]),MONTH(RawSalesTable5[[#This Row],[Order_Date]]),1)</f>
        <v>45748</v>
      </c>
      <c r="AA251" t="str" cm="1">
        <f t="array" ref="AA251">IF(RawSalesTable5[[#This Row],[Lookup_Status]]="Missing Product","",_xlfn.IFS(RawSalesTable5[[#This Row],[Net_Revenue]]&gt;=20000,"High",RawSalesTable5[[#This Row],[Net_Revenue]]&gt;=10000,"Medium",TRUE,"Low"))</f>
        <v>High</v>
      </c>
    </row>
    <row r="252" spans="1:27">
      <c r="A252" t="s">
        <v>384</v>
      </c>
      <c r="B252" s="15">
        <v>45788</v>
      </c>
      <c r="C252" s="15">
        <v>45791</v>
      </c>
      <c r="D252" t="s">
        <v>83</v>
      </c>
      <c r="E252" t="s">
        <v>106</v>
      </c>
      <c r="F252" t="s">
        <v>93</v>
      </c>
      <c r="G252" t="s">
        <v>125</v>
      </c>
      <c r="H252" t="s">
        <v>103</v>
      </c>
      <c r="I252" s="17">
        <v>1</v>
      </c>
      <c r="J252" s="16">
        <v>0</v>
      </c>
      <c r="K252" t="s">
        <v>95</v>
      </c>
      <c r="L252" t="s">
        <v>89</v>
      </c>
      <c r="M252" s="17">
        <v>3</v>
      </c>
      <c r="N252" t="str" cm="1">
        <f t="array" ref="N252">_xlfn.XLOOKUP(RawSalesTable5[[#This Row],[Product_Code]],ProductLookupTable[[#All],[Product_Code]],ProductLookupTable[[#All],[Product_Name]],"NOT FOUND")</f>
        <v>Wireless Headset</v>
      </c>
      <c r="O252" t="str" cm="1">
        <f t="array" ref="O252">_xlfn.XLOOKUP(RawSalesTable5[[#This Row],[Product_Code]],ProductLookupTable[[#All],[Product_Code]],ProductLookupTable[[#All],[Category]],"NOT FOUND")</f>
        <v>Audio</v>
      </c>
      <c r="P252" cm="1">
        <f t="array" ref="P252">_xlfn.XLOOKUP(RawSalesTable5[[#This Row],[Product_Code]],ProductLookupTable[[#All],[Product_Code]],ProductLookupTable[[#All],[Unit_Price]],"NOT FOUND")</f>
        <v>3499</v>
      </c>
      <c r="Q252" t="str">
        <f>IF(COUNTIF(ProductLookupTable[Product_Code],RawSalesTable5[[#This Row],[Product_Code]])=0,"Missing Product","OK")</f>
        <v>OK</v>
      </c>
      <c r="R252" cm="1">
        <f t="array" ref="R252">_xlfn.XLOOKUP(RawSalesTable5[[#This Row],[Product_Code]],ProductLookupTable[[#All],[Product_Code]],ProductLookupTable[[#All],[Unit_Cost]],"NOT FOUND")</f>
        <v>2100</v>
      </c>
      <c r="S252">
        <f>IFERROR(RawSalesTable5[[#This Row],[Quantity]]*RawSalesTable5[[#This Row],[Unit_Price]],"NOT FOUND")</f>
        <v>3499</v>
      </c>
      <c r="T252">
        <f>IFERROR(RawSalesTable5[[#This Row],[Gross_Revenue]]*RawSalesTable5[[#This Row],[Discount_Pct]],"NOT FOUND")</f>
        <v>0</v>
      </c>
      <c r="U252">
        <f>IFERROR(RawSalesTable5[[#This Row],[Gross_Revenue]]-RawSalesTable5[[#This Row],[Discount_Value]],"NOT FOUND")</f>
        <v>3499</v>
      </c>
      <c r="V252">
        <f>IFERROR(RawSalesTable5[[#This Row],[Quantity]]*RawSalesTable5[[#This Row],[Unit_Cost]],"NOT FOUND")</f>
        <v>2100</v>
      </c>
      <c r="W252">
        <f>IFERROR(RawSalesTable5[[#This Row],[Net_Revenue]]-RawSalesTable5[[#This Row],[Cost]],"NOT FOUND")</f>
        <v>1399</v>
      </c>
      <c r="X252" s="27">
        <f>IF(RawSalesTable5[[#This Row],[Lookup_Status]]="Missing Product","",IFERROR(RawSalesTable5[[#This Row],[Profit]]/RawSalesTable5[[#This Row],[Net_Revenue]],0))</f>
        <v>0.3998285224349814</v>
      </c>
      <c r="Y252">
        <f>RawSalesTable5[[#This Row],[Ship_Date]]-RawSalesTable5[[#This Row],[Order_Date]]</f>
        <v>3</v>
      </c>
      <c r="Z252" s="28">
        <f>DATE(YEAR(RawSalesTable5[[#This Row],[Order_Date]]),MONTH(RawSalesTable5[[#This Row],[Order_Date]]),1)</f>
        <v>45778</v>
      </c>
      <c r="AA252" t="str" cm="1">
        <f t="array" ref="AA252">IF(RawSalesTable5[[#This Row],[Lookup_Status]]="Missing Product","",_xlfn.IFS(RawSalesTable5[[#This Row],[Net_Revenue]]&gt;=20000,"High",RawSalesTable5[[#This Row],[Net_Revenue]]&gt;=10000,"Medium",TRUE,"Low"))</f>
        <v>Low</v>
      </c>
    </row>
    <row r="253" spans="1:27">
      <c r="A253" t="s">
        <v>385</v>
      </c>
      <c r="B253" s="15">
        <v>45995</v>
      </c>
      <c r="C253" s="15">
        <v>46003</v>
      </c>
      <c r="D253" t="s">
        <v>114</v>
      </c>
      <c r="E253" t="s">
        <v>111</v>
      </c>
      <c r="F253" t="s">
        <v>154</v>
      </c>
      <c r="G253" t="s">
        <v>108</v>
      </c>
      <c r="H253" t="s">
        <v>86</v>
      </c>
      <c r="I253" s="17">
        <v>2</v>
      </c>
      <c r="J253" s="16">
        <v>0</v>
      </c>
      <c r="K253" t="s">
        <v>119</v>
      </c>
      <c r="L253" t="s">
        <v>89</v>
      </c>
      <c r="M253" s="17">
        <v>4</v>
      </c>
      <c r="N253" t="str" cm="1">
        <f t="array" ref="N253">_xlfn.XLOOKUP(RawSalesTable5[[#This Row],[Product_Code]],ProductLookupTable[[#All],[Product_Code]],ProductLookupTable[[#All],[Product_Name]],"NOT FOUND")</f>
        <v>Laptop Stand</v>
      </c>
      <c r="O253" t="str" cm="1">
        <f t="array" ref="O253">_xlfn.XLOOKUP(RawSalesTable5[[#This Row],[Product_Code]],ProductLookupTable[[#All],[Product_Code]],ProductLookupTable[[#All],[Category]],"NOT FOUND")</f>
        <v>Accessories</v>
      </c>
      <c r="P253" cm="1">
        <f t="array" ref="P253">_xlfn.XLOOKUP(RawSalesTable5[[#This Row],[Product_Code]],ProductLookupTable[[#All],[Product_Code]],ProductLookupTable[[#All],[Unit_Price]],"NOT FOUND")</f>
        <v>1899</v>
      </c>
      <c r="Q253" t="str">
        <f>IF(COUNTIF(ProductLookupTable[Product_Code],RawSalesTable5[[#This Row],[Product_Code]])=0,"Missing Product","OK")</f>
        <v>OK</v>
      </c>
      <c r="R253" cm="1">
        <f t="array" ref="R253">_xlfn.XLOOKUP(RawSalesTable5[[#This Row],[Product_Code]],ProductLookupTable[[#All],[Product_Code]],ProductLookupTable[[#All],[Unit_Cost]],"NOT FOUND")</f>
        <v>980</v>
      </c>
      <c r="S253">
        <f>IFERROR(RawSalesTable5[[#This Row],[Quantity]]*RawSalesTable5[[#This Row],[Unit_Price]],"NOT FOUND")</f>
        <v>3798</v>
      </c>
      <c r="T253">
        <f>IFERROR(RawSalesTable5[[#This Row],[Gross_Revenue]]*RawSalesTable5[[#This Row],[Discount_Pct]],"NOT FOUND")</f>
        <v>0</v>
      </c>
      <c r="U253">
        <f>IFERROR(RawSalesTable5[[#This Row],[Gross_Revenue]]-RawSalesTable5[[#This Row],[Discount_Value]],"NOT FOUND")</f>
        <v>3798</v>
      </c>
      <c r="V253">
        <f>IFERROR(RawSalesTable5[[#This Row],[Quantity]]*RawSalesTable5[[#This Row],[Unit_Cost]],"NOT FOUND")</f>
        <v>1960</v>
      </c>
      <c r="W253">
        <f>IFERROR(RawSalesTable5[[#This Row],[Net_Revenue]]-RawSalesTable5[[#This Row],[Cost]],"NOT FOUND")</f>
        <v>1838</v>
      </c>
      <c r="X253" s="27">
        <f>IF(RawSalesTable5[[#This Row],[Lookup_Status]]="Missing Product","",IFERROR(RawSalesTable5[[#This Row],[Profit]]/RawSalesTable5[[#This Row],[Net_Revenue]],0))</f>
        <v>0.48393891521853605</v>
      </c>
      <c r="Y253">
        <f>RawSalesTable5[[#This Row],[Ship_Date]]-RawSalesTable5[[#This Row],[Order_Date]]</f>
        <v>8</v>
      </c>
      <c r="Z253" s="28">
        <f>DATE(YEAR(RawSalesTable5[[#This Row],[Order_Date]]),MONTH(RawSalesTable5[[#This Row],[Order_Date]]),1)</f>
        <v>45992</v>
      </c>
      <c r="AA253" t="str" cm="1">
        <f t="array" ref="AA253">IF(RawSalesTable5[[#This Row],[Lookup_Status]]="Missing Product","",_xlfn.IFS(RawSalesTable5[[#This Row],[Net_Revenue]]&gt;=20000,"High",RawSalesTable5[[#This Row],[Net_Revenue]]&gt;=10000,"Medium",TRUE,"Low"))</f>
        <v>Low</v>
      </c>
    </row>
    <row r="254" spans="1:27">
      <c r="A254" t="s">
        <v>386</v>
      </c>
      <c r="B254" s="15">
        <v>45878</v>
      </c>
      <c r="C254" s="15">
        <v>45884</v>
      </c>
      <c r="D254" t="s">
        <v>157</v>
      </c>
      <c r="E254" t="s">
        <v>84</v>
      </c>
      <c r="F254" t="s">
        <v>147</v>
      </c>
      <c r="G254" t="s">
        <v>94</v>
      </c>
      <c r="H254" t="s">
        <v>87</v>
      </c>
      <c r="I254" s="17">
        <v>2</v>
      </c>
      <c r="J254" s="16">
        <v>0.05</v>
      </c>
      <c r="K254" t="s">
        <v>88</v>
      </c>
      <c r="L254" t="s">
        <v>89</v>
      </c>
      <c r="M254" s="17">
        <v>3</v>
      </c>
      <c r="N254" t="str" cm="1">
        <f t="array" ref="N254">_xlfn.XLOOKUP(RawSalesTable5[[#This Row],[Product_Code]],ProductLookupTable[[#All],[Product_Code]],ProductLookupTable[[#All],[Product_Name]],"NOT FOUND")</f>
        <v>LED Desk Lamp</v>
      </c>
      <c r="O254" t="str" cm="1">
        <f t="array" ref="O254">_xlfn.XLOOKUP(RawSalesTable5[[#This Row],[Product_Code]],ProductLookupTable[[#All],[Product_Code]],ProductLookupTable[[#All],[Category]],"NOT FOUND")</f>
        <v>Furniture</v>
      </c>
      <c r="P254" cm="1">
        <f t="array" ref="P254">_xlfn.XLOOKUP(RawSalesTable5[[#This Row],[Product_Code]],ProductLookupTable[[#All],[Product_Code]],ProductLookupTable[[#All],[Unit_Price]],"NOT FOUND")</f>
        <v>1999</v>
      </c>
      <c r="Q254" t="str">
        <f>IF(COUNTIF(ProductLookupTable[Product_Code],RawSalesTable5[[#This Row],[Product_Code]])=0,"Missing Product","OK")</f>
        <v>OK</v>
      </c>
      <c r="R254" cm="1">
        <f t="array" ref="R254">_xlfn.XLOOKUP(RawSalesTable5[[#This Row],[Product_Code]],ProductLookupTable[[#All],[Product_Code]],ProductLookupTable[[#All],[Unit_Cost]],"NOT FOUND")</f>
        <v>1050</v>
      </c>
      <c r="S254">
        <f>IFERROR(RawSalesTable5[[#This Row],[Quantity]]*RawSalesTable5[[#This Row],[Unit_Price]],"NOT FOUND")</f>
        <v>3998</v>
      </c>
      <c r="T254">
        <f>IFERROR(RawSalesTable5[[#This Row],[Gross_Revenue]]*RawSalesTable5[[#This Row],[Discount_Pct]],"NOT FOUND")</f>
        <v>199.9</v>
      </c>
      <c r="U254">
        <f>IFERROR(RawSalesTable5[[#This Row],[Gross_Revenue]]-RawSalesTable5[[#This Row],[Discount_Value]],"NOT FOUND")</f>
        <v>3798.1</v>
      </c>
      <c r="V254">
        <f>IFERROR(RawSalesTable5[[#This Row],[Quantity]]*RawSalesTable5[[#This Row],[Unit_Cost]],"NOT FOUND")</f>
        <v>2100</v>
      </c>
      <c r="W254">
        <f>IFERROR(RawSalesTable5[[#This Row],[Net_Revenue]]-RawSalesTable5[[#This Row],[Cost]],"NOT FOUND")</f>
        <v>1698.1</v>
      </c>
      <c r="X254" s="27">
        <f>IF(RawSalesTable5[[#This Row],[Lookup_Status]]="Missing Product","",IFERROR(RawSalesTable5[[#This Row],[Profit]]/RawSalesTable5[[#This Row],[Net_Revenue]],0))</f>
        <v>0.44709196703614962</v>
      </c>
      <c r="Y254">
        <f>RawSalesTable5[[#This Row],[Ship_Date]]-RawSalesTable5[[#This Row],[Order_Date]]</f>
        <v>6</v>
      </c>
      <c r="Z254" s="28">
        <f>DATE(YEAR(RawSalesTable5[[#This Row],[Order_Date]]),MONTH(RawSalesTable5[[#This Row],[Order_Date]]),1)</f>
        <v>45870</v>
      </c>
      <c r="AA254" t="str" cm="1">
        <f t="array" ref="AA254">IF(RawSalesTable5[[#This Row],[Lookup_Status]]="Missing Product","",_xlfn.IFS(RawSalesTable5[[#This Row],[Net_Revenue]]&gt;=20000,"High",RawSalesTable5[[#This Row],[Net_Revenue]]&gt;=10000,"Medium",TRUE,"Low"))</f>
        <v>Low</v>
      </c>
    </row>
    <row r="255" spans="1:27">
      <c r="A255" t="s">
        <v>387</v>
      </c>
      <c r="B255" s="15">
        <v>45730</v>
      </c>
      <c r="C255" s="15">
        <v>45732</v>
      </c>
      <c r="D255" t="s">
        <v>212</v>
      </c>
      <c r="E255" t="s">
        <v>92</v>
      </c>
      <c r="F255" t="s">
        <v>115</v>
      </c>
      <c r="G255" t="s">
        <v>94</v>
      </c>
      <c r="H255" t="s">
        <v>103</v>
      </c>
      <c r="I255" s="17">
        <v>3</v>
      </c>
      <c r="J255" s="16">
        <v>0.15</v>
      </c>
      <c r="K255" t="s">
        <v>140</v>
      </c>
      <c r="L255" t="s">
        <v>89</v>
      </c>
      <c r="M255" s="17">
        <v>5</v>
      </c>
      <c r="N255" t="str" cm="1">
        <f t="array" ref="N255">_xlfn.XLOOKUP(RawSalesTable5[[#This Row],[Product_Code]],ProductLookupTable[[#All],[Product_Code]],ProductLookupTable[[#All],[Product_Name]],"NOT FOUND")</f>
        <v>USB-C Hub</v>
      </c>
      <c r="O255" t="str" cm="1">
        <f t="array" ref="O255">_xlfn.XLOOKUP(RawSalesTable5[[#This Row],[Product_Code]],ProductLookupTable[[#All],[Product_Code]],ProductLookupTable[[#All],[Category]],"NOT FOUND")</f>
        <v>Accessories</v>
      </c>
      <c r="P255" cm="1">
        <f t="array" ref="P255">_xlfn.XLOOKUP(RawSalesTable5[[#This Row],[Product_Code]],ProductLookupTable[[#All],[Product_Code]],ProductLookupTable[[#All],[Unit_Price]],"NOT FOUND")</f>
        <v>1599</v>
      </c>
      <c r="Q255" t="str">
        <f>IF(COUNTIF(ProductLookupTable[Product_Code],RawSalesTable5[[#This Row],[Product_Code]])=0,"Missing Product","OK")</f>
        <v>OK</v>
      </c>
      <c r="R255" cm="1">
        <f t="array" ref="R255">_xlfn.XLOOKUP(RawSalesTable5[[#This Row],[Product_Code]],ProductLookupTable[[#All],[Product_Code]],ProductLookupTable[[#All],[Unit_Cost]],"NOT FOUND")</f>
        <v>870</v>
      </c>
      <c r="S255">
        <f>IFERROR(RawSalesTable5[[#This Row],[Quantity]]*RawSalesTable5[[#This Row],[Unit_Price]],"NOT FOUND")</f>
        <v>4797</v>
      </c>
      <c r="T255">
        <f>IFERROR(RawSalesTable5[[#This Row],[Gross_Revenue]]*RawSalesTable5[[#This Row],[Discount_Pct]],"NOT FOUND")</f>
        <v>719.55</v>
      </c>
      <c r="U255">
        <f>IFERROR(RawSalesTable5[[#This Row],[Gross_Revenue]]-RawSalesTable5[[#This Row],[Discount_Value]],"NOT FOUND")</f>
        <v>4077.45</v>
      </c>
      <c r="V255">
        <f>IFERROR(RawSalesTable5[[#This Row],[Quantity]]*RawSalesTable5[[#This Row],[Unit_Cost]],"NOT FOUND")</f>
        <v>2610</v>
      </c>
      <c r="W255">
        <f>IFERROR(RawSalesTable5[[#This Row],[Net_Revenue]]-RawSalesTable5[[#This Row],[Cost]],"NOT FOUND")</f>
        <v>1467.4499999999998</v>
      </c>
      <c r="X255" s="27">
        <f>IF(RawSalesTable5[[#This Row],[Lookup_Status]]="Missing Product","",IFERROR(RawSalesTable5[[#This Row],[Profit]]/RawSalesTable5[[#This Row],[Net_Revenue]],0))</f>
        <v>0.35989405142920206</v>
      </c>
      <c r="Y255">
        <f>RawSalesTable5[[#This Row],[Ship_Date]]-RawSalesTable5[[#This Row],[Order_Date]]</f>
        <v>2</v>
      </c>
      <c r="Z255" s="28">
        <f>DATE(YEAR(RawSalesTable5[[#This Row],[Order_Date]]),MONTH(RawSalesTable5[[#This Row],[Order_Date]]),1)</f>
        <v>45717</v>
      </c>
      <c r="AA255" t="str" cm="1">
        <f t="array" ref="AA255">IF(RawSalesTable5[[#This Row],[Lookup_Status]]="Missing Product","",_xlfn.IFS(RawSalesTable5[[#This Row],[Net_Revenue]]&gt;=20000,"High",RawSalesTable5[[#This Row],[Net_Revenue]]&gt;=10000,"Medium",TRUE,"Low"))</f>
        <v>Low</v>
      </c>
    </row>
    <row r="256" spans="1:27">
      <c r="A256" t="s">
        <v>388</v>
      </c>
      <c r="B256" s="15">
        <v>45946</v>
      </c>
      <c r="C256" s="15">
        <v>45948</v>
      </c>
      <c r="D256" t="s">
        <v>123</v>
      </c>
      <c r="E256" t="s">
        <v>98</v>
      </c>
      <c r="F256" t="s">
        <v>93</v>
      </c>
      <c r="G256" t="s">
        <v>108</v>
      </c>
      <c r="H256" t="s">
        <v>87</v>
      </c>
      <c r="I256" s="17">
        <v>3</v>
      </c>
      <c r="J256" s="16">
        <v>0.1</v>
      </c>
      <c r="K256" t="s">
        <v>88</v>
      </c>
      <c r="L256" t="s">
        <v>89</v>
      </c>
      <c r="M256" s="17">
        <v>4</v>
      </c>
      <c r="N256" t="str" cm="1">
        <f t="array" ref="N256">_xlfn.XLOOKUP(RawSalesTable5[[#This Row],[Product_Code]],ProductLookupTable[[#All],[Product_Code]],ProductLookupTable[[#All],[Product_Name]],"NOT FOUND")</f>
        <v>Wireless Headset</v>
      </c>
      <c r="O256" t="str" cm="1">
        <f t="array" ref="O256">_xlfn.XLOOKUP(RawSalesTable5[[#This Row],[Product_Code]],ProductLookupTable[[#All],[Product_Code]],ProductLookupTable[[#All],[Category]],"NOT FOUND")</f>
        <v>Audio</v>
      </c>
      <c r="P256" cm="1">
        <f t="array" ref="P256">_xlfn.XLOOKUP(RawSalesTable5[[#This Row],[Product_Code]],ProductLookupTable[[#All],[Product_Code]],ProductLookupTable[[#All],[Unit_Price]],"NOT FOUND")</f>
        <v>3499</v>
      </c>
      <c r="Q256" t="str">
        <f>IF(COUNTIF(ProductLookupTable[Product_Code],RawSalesTable5[[#This Row],[Product_Code]])=0,"Missing Product","OK")</f>
        <v>OK</v>
      </c>
      <c r="R256" cm="1">
        <f t="array" ref="R256">_xlfn.XLOOKUP(RawSalesTable5[[#This Row],[Product_Code]],ProductLookupTable[[#All],[Product_Code]],ProductLookupTable[[#All],[Unit_Cost]],"NOT FOUND")</f>
        <v>2100</v>
      </c>
      <c r="S256">
        <f>IFERROR(RawSalesTable5[[#This Row],[Quantity]]*RawSalesTable5[[#This Row],[Unit_Price]],"NOT FOUND")</f>
        <v>10497</v>
      </c>
      <c r="T256">
        <f>IFERROR(RawSalesTable5[[#This Row],[Gross_Revenue]]*RawSalesTable5[[#This Row],[Discount_Pct]],"NOT FOUND")</f>
        <v>1049.7</v>
      </c>
      <c r="U256">
        <f>IFERROR(RawSalesTable5[[#This Row],[Gross_Revenue]]-RawSalesTable5[[#This Row],[Discount_Value]],"NOT FOUND")</f>
        <v>9447.2999999999993</v>
      </c>
      <c r="V256">
        <f>IFERROR(RawSalesTable5[[#This Row],[Quantity]]*RawSalesTable5[[#This Row],[Unit_Cost]],"NOT FOUND")</f>
        <v>6300</v>
      </c>
      <c r="W256">
        <f>IFERROR(RawSalesTable5[[#This Row],[Net_Revenue]]-RawSalesTable5[[#This Row],[Cost]],"NOT FOUND")</f>
        <v>3147.2999999999993</v>
      </c>
      <c r="X256" s="27">
        <f>IF(RawSalesTable5[[#This Row],[Lookup_Status]]="Missing Product","",IFERROR(RawSalesTable5[[#This Row],[Profit]]/RawSalesTable5[[#This Row],[Net_Revenue]],0))</f>
        <v>0.33314280270553487</v>
      </c>
      <c r="Y256">
        <f>RawSalesTable5[[#This Row],[Ship_Date]]-RawSalesTable5[[#This Row],[Order_Date]]</f>
        <v>2</v>
      </c>
      <c r="Z256" s="28">
        <f>DATE(YEAR(RawSalesTable5[[#This Row],[Order_Date]]),MONTH(RawSalesTable5[[#This Row],[Order_Date]]),1)</f>
        <v>45931</v>
      </c>
      <c r="AA256" t="str" cm="1">
        <f t="array" ref="AA256">IF(RawSalesTable5[[#This Row],[Lookup_Status]]="Missing Product","",_xlfn.IFS(RawSalesTable5[[#This Row],[Net_Revenue]]&gt;=20000,"High",RawSalesTable5[[#This Row],[Net_Revenue]]&gt;=10000,"Medium",TRUE,"Low"))</f>
        <v>Low</v>
      </c>
    </row>
    <row r="257" spans="1:27">
      <c r="A257" t="s">
        <v>389</v>
      </c>
      <c r="B257" s="15">
        <v>45691</v>
      </c>
      <c r="C257" s="15">
        <v>45695</v>
      </c>
      <c r="D257" t="s">
        <v>83</v>
      </c>
      <c r="E257" t="s">
        <v>101</v>
      </c>
      <c r="F257" t="s">
        <v>124</v>
      </c>
      <c r="G257" t="s">
        <v>125</v>
      </c>
      <c r="H257" t="s">
        <v>86</v>
      </c>
      <c r="I257" s="17">
        <v>5</v>
      </c>
      <c r="J257" s="16">
        <v>0.05</v>
      </c>
      <c r="K257" t="s">
        <v>112</v>
      </c>
      <c r="L257" t="s">
        <v>126</v>
      </c>
      <c r="M257" s="17">
        <v>1</v>
      </c>
      <c r="N257" t="str" cm="1">
        <f t="array" ref="N257">_xlfn.XLOOKUP(RawSalesTable5[[#This Row],[Product_Code]],ProductLookupTable[[#All],[Product_Code]],ProductLookupTable[[#All],[Product_Name]],"NOT FOUND")</f>
        <v>Wireless Mouse</v>
      </c>
      <c r="O257" t="str" cm="1">
        <f t="array" ref="O257">_xlfn.XLOOKUP(RawSalesTable5[[#This Row],[Product_Code]],ProductLookupTable[[#All],[Product_Code]],ProductLookupTable[[#All],[Category]],"NOT FOUND")</f>
        <v>Accessories</v>
      </c>
      <c r="P257" cm="1">
        <f t="array" ref="P257">_xlfn.XLOOKUP(RawSalesTable5[[#This Row],[Product_Code]],ProductLookupTable[[#All],[Product_Code]],ProductLookupTable[[#All],[Unit_Price]],"NOT FOUND")</f>
        <v>799</v>
      </c>
      <c r="Q257" t="str">
        <f>IF(COUNTIF(ProductLookupTable[Product_Code],RawSalesTable5[[#This Row],[Product_Code]])=0,"Missing Product","OK")</f>
        <v>OK</v>
      </c>
      <c r="R257" cm="1">
        <f t="array" ref="R257">_xlfn.XLOOKUP(RawSalesTable5[[#This Row],[Product_Code]],ProductLookupTable[[#All],[Product_Code]],ProductLookupTable[[#All],[Unit_Cost]],"NOT FOUND")</f>
        <v>420</v>
      </c>
      <c r="S257">
        <f>IFERROR(RawSalesTable5[[#This Row],[Quantity]]*RawSalesTable5[[#This Row],[Unit_Price]],"NOT FOUND")</f>
        <v>3995</v>
      </c>
      <c r="T257">
        <f>IFERROR(RawSalesTable5[[#This Row],[Gross_Revenue]]*RawSalesTable5[[#This Row],[Discount_Pct]],"NOT FOUND")</f>
        <v>199.75</v>
      </c>
      <c r="U257">
        <f>IFERROR(RawSalesTable5[[#This Row],[Gross_Revenue]]-RawSalesTable5[[#This Row],[Discount_Value]],"NOT FOUND")</f>
        <v>3795.25</v>
      </c>
      <c r="V257">
        <f>IFERROR(RawSalesTable5[[#This Row],[Quantity]]*RawSalesTable5[[#This Row],[Unit_Cost]],"NOT FOUND")</f>
        <v>2100</v>
      </c>
      <c r="W257">
        <f>IFERROR(RawSalesTable5[[#This Row],[Net_Revenue]]-RawSalesTable5[[#This Row],[Cost]],"NOT FOUND")</f>
        <v>1695.25</v>
      </c>
      <c r="X257" s="27">
        <f>IF(RawSalesTable5[[#This Row],[Lookup_Status]]="Missing Product","",IFERROR(RawSalesTable5[[#This Row],[Profit]]/RawSalesTable5[[#This Row],[Net_Revenue]],0))</f>
        <v>0.4466767670113958</v>
      </c>
      <c r="Y257">
        <f>RawSalesTable5[[#This Row],[Ship_Date]]-RawSalesTable5[[#This Row],[Order_Date]]</f>
        <v>4</v>
      </c>
      <c r="Z257" s="28">
        <f>DATE(YEAR(RawSalesTable5[[#This Row],[Order_Date]]),MONTH(RawSalesTable5[[#This Row],[Order_Date]]),1)</f>
        <v>45689</v>
      </c>
      <c r="AA257" t="str" cm="1">
        <f t="array" ref="AA257">IF(RawSalesTable5[[#This Row],[Lookup_Status]]="Missing Product","",_xlfn.IFS(RawSalesTable5[[#This Row],[Net_Revenue]]&gt;=20000,"High",RawSalesTable5[[#This Row],[Net_Revenue]]&gt;=10000,"Medium",TRUE,"Low"))</f>
        <v>Low</v>
      </c>
    </row>
    <row r="258" spans="1:27">
      <c r="A258" t="s">
        <v>390</v>
      </c>
      <c r="B258" s="15">
        <v>45675</v>
      </c>
      <c r="C258" s="15">
        <v>45679</v>
      </c>
      <c r="D258" t="s">
        <v>114</v>
      </c>
      <c r="E258" t="s">
        <v>106</v>
      </c>
      <c r="F258" t="s">
        <v>138</v>
      </c>
      <c r="G258" t="s">
        <v>125</v>
      </c>
      <c r="H258" t="s">
        <v>103</v>
      </c>
      <c r="I258" s="17">
        <v>5</v>
      </c>
      <c r="J258" s="16">
        <v>0.1</v>
      </c>
      <c r="K258" t="s">
        <v>112</v>
      </c>
      <c r="L258" t="s">
        <v>89</v>
      </c>
      <c r="M258" s="17">
        <v>4</v>
      </c>
      <c r="N258" t="str" cm="1">
        <f t="array" ref="N258">_xlfn.XLOOKUP(RawSalesTable5[[#This Row],[Product_Code]],ProductLookupTable[[#All],[Product_Code]],ProductLookupTable[[#All],[Product_Name]],"NOT FOUND")</f>
        <v>24-inch Monitor</v>
      </c>
      <c r="O258" t="str" cm="1">
        <f t="array" ref="O258">_xlfn.XLOOKUP(RawSalesTable5[[#This Row],[Product_Code]],ProductLookupTable[[#All],[Product_Code]],ProductLookupTable[[#All],[Category]],"NOT FOUND")</f>
        <v>Displays</v>
      </c>
      <c r="P258" cm="1">
        <f t="array" ref="P258">_xlfn.XLOOKUP(RawSalesTable5[[#This Row],[Product_Code]],ProductLookupTable[[#All],[Product_Code]],ProductLookupTable[[#All],[Unit_Price]],"NOT FOUND")</f>
        <v>12999</v>
      </c>
      <c r="Q258" t="str">
        <f>IF(COUNTIF(ProductLookupTable[Product_Code],RawSalesTable5[[#This Row],[Product_Code]])=0,"Missing Product","OK")</f>
        <v>OK</v>
      </c>
      <c r="R258" cm="1">
        <f t="array" ref="R258">_xlfn.XLOOKUP(RawSalesTable5[[#This Row],[Product_Code]],ProductLookupTable[[#All],[Product_Code]],ProductLookupTable[[#All],[Unit_Cost]],"NOT FOUND")</f>
        <v>9100</v>
      </c>
      <c r="S258">
        <f>IFERROR(RawSalesTable5[[#This Row],[Quantity]]*RawSalesTable5[[#This Row],[Unit_Price]],"NOT FOUND")</f>
        <v>64995</v>
      </c>
      <c r="T258">
        <f>IFERROR(RawSalesTable5[[#This Row],[Gross_Revenue]]*RawSalesTable5[[#This Row],[Discount_Pct]],"NOT FOUND")</f>
        <v>6499.5</v>
      </c>
      <c r="U258">
        <f>IFERROR(RawSalesTable5[[#This Row],[Gross_Revenue]]-RawSalesTable5[[#This Row],[Discount_Value]],"NOT FOUND")</f>
        <v>58495.5</v>
      </c>
      <c r="V258">
        <f>IFERROR(RawSalesTable5[[#This Row],[Quantity]]*RawSalesTable5[[#This Row],[Unit_Cost]],"NOT FOUND")</f>
        <v>45500</v>
      </c>
      <c r="W258">
        <f>IFERROR(RawSalesTable5[[#This Row],[Net_Revenue]]-RawSalesTable5[[#This Row],[Cost]],"NOT FOUND")</f>
        <v>12995.5</v>
      </c>
      <c r="X258" s="27">
        <f>IF(RawSalesTable5[[#This Row],[Lookup_Status]]="Missing Product","",IFERROR(RawSalesTable5[[#This Row],[Profit]]/RawSalesTable5[[#This Row],[Net_Revenue]],0))</f>
        <v>0.22216238855980375</v>
      </c>
      <c r="Y258">
        <f>RawSalesTable5[[#This Row],[Ship_Date]]-RawSalesTable5[[#This Row],[Order_Date]]</f>
        <v>4</v>
      </c>
      <c r="Z258" s="28">
        <f>DATE(YEAR(RawSalesTable5[[#This Row],[Order_Date]]),MONTH(RawSalesTable5[[#This Row],[Order_Date]]),1)</f>
        <v>45658</v>
      </c>
      <c r="AA258" t="str" cm="1">
        <f t="array" ref="AA258">IF(RawSalesTable5[[#This Row],[Lookup_Status]]="Missing Product","",_xlfn.IFS(RawSalesTable5[[#This Row],[Net_Revenue]]&gt;=20000,"High",RawSalesTable5[[#This Row],[Net_Revenue]]&gt;=10000,"Medium",TRUE,"Low"))</f>
        <v>High</v>
      </c>
    </row>
    <row r="259" spans="1:27">
      <c r="A259" t="s">
        <v>391</v>
      </c>
      <c r="B259" s="15">
        <v>45938</v>
      </c>
      <c r="C259" s="15">
        <v>45946</v>
      </c>
      <c r="D259" t="s">
        <v>157</v>
      </c>
      <c r="E259" t="s">
        <v>111</v>
      </c>
      <c r="F259" t="s">
        <v>107</v>
      </c>
      <c r="G259" t="s">
        <v>108</v>
      </c>
      <c r="H259" t="s">
        <v>86</v>
      </c>
      <c r="I259" s="17">
        <v>1</v>
      </c>
      <c r="J259" s="16">
        <v>0.2</v>
      </c>
      <c r="K259" t="s">
        <v>140</v>
      </c>
      <c r="L259" t="s">
        <v>89</v>
      </c>
      <c r="M259" s="17">
        <v>5</v>
      </c>
      <c r="N259" t="str" cm="1">
        <f t="array" ref="N259">_xlfn.XLOOKUP(RawSalesTable5[[#This Row],[Product_Code]],ProductLookupTable[[#All],[Product_Code]],ProductLookupTable[[#All],[Product_Name]],"NOT FOUND")</f>
        <v>Bluetooth Speaker</v>
      </c>
      <c r="O259" t="str" cm="1">
        <f t="array" ref="O259">_xlfn.XLOOKUP(RawSalesTable5[[#This Row],[Product_Code]],ProductLookupTable[[#All],[Product_Code]],ProductLookupTable[[#All],[Category]],"NOT FOUND")</f>
        <v>Audio</v>
      </c>
      <c r="P259" cm="1">
        <f t="array" ref="P259">_xlfn.XLOOKUP(RawSalesTable5[[#This Row],[Product_Code]],ProductLookupTable[[#All],[Product_Code]],ProductLookupTable[[#All],[Unit_Price]],"NOT FOUND")</f>
        <v>2799</v>
      </c>
      <c r="Q259" t="str">
        <f>IF(COUNTIF(ProductLookupTable[Product_Code],RawSalesTable5[[#This Row],[Product_Code]])=0,"Missing Product","OK")</f>
        <v>OK</v>
      </c>
      <c r="R259" cm="1">
        <f t="array" ref="R259">_xlfn.XLOOKUP(RawSalesTable5[[#This Row],[Product_Code]],ProductLookupTable[[#All],[Product_Code]],ProductLookupTable[[#All],[Unit_Cost]],"NOT FOUND")</f>
        <v>1650</v>
      </c>
      <c r="S259">
        <f>IFERROR(RawSalesTable5[[#This Row],[Quantity]]*RawSalesTable5[[#This Row],[Unit_Price]],"NOT FOUND")</f>
        <v>2799</v>
      </c>
      <c r="T259">
        <f>IFERROR(RawSalesTable5[[#This Row],[Gross_Revenue]]*RawSalesTable5[[#This Row],[Discount_Pct]],"NOT FOUND")</f>
        <v>559.80000000000007</v>
      </c>
      <c r="U259">
        <f>IFERROR(RawSalesTable5[[#This Row],[Gross_Revenue]]-RawSalesTable5[[#This Row],[Discount_Value]],"NOT FOUND")</f>
        <v>2239.1999999999998</v>
      </c>
      <c r="V259">
        <f>IFERROR(RawSalesTable5[[#This Row],[Quantity]]*RawSalesTable5[[#This Row],[Unit_Cost]],"NOT FOUND")</f>
        <v>1650</v>
      </c>
      <c r="W259">
        <f>IFERROR(RawSalesTable5[[#This Row],[Net_Revenue]]-RawSalesTable5[[#This Row],[Cost]],"NOT FOUND")</f>
        <v>589.19999999999982</v>
      </c>
      <c r="X259" s="27">
        <f>IF(RawSalesTable5[[#This Row],[Lookup_Status]]="Missing Product","",IFERROR(RawSalesTable5[[#This Row],[Profit]]/RawSalesTable5[[#This Row],[Net_Revenue]],0))</f>
        <v>0.26312968917470519</v>
      </c>
      <c r="Y259">
        <f>RawSalesTable5[[#This Row],[Ship_Date]]-RawSalesTable5[[#This Row],[Order_Date]]</f>
        <v>8</v>
      </c>
      <c r="Z259" s="28">
        <f>DATE(YEAR(RawSalesTable5[[#This Row],[Order_Date]]),MONTH(RawSalesTable5[[#This Row],[Order_Date]]),1)</f>
        <v>45931</v>
      </c>
      <c r="AA259" t="str" cm="1">
        <f t="array" ref="AA259">IF(RawSalesTable5[[#This Row],[Lookup_Status]]="Missing Product","",_xlfn.IFS(RawSalesTable5[[#This Row],[Net_Revenue]]&gt;=20000,"High",RawSalesTable5[[#This Row],[Net_Revenue]]&gt;=10000,"Medium",TRUE,"Low"))</f>
        <v>Low</v>
      </c>
    </row>
    <row r="260" spans="1:27">
      <c r="A260" t="s">
        <v>392</v>
      </c>
      <c r="B260" s="15">
        <v>45815</v>
      </c>
      <c r="C260" s="15">
        <v>45819</v>
      </c>
      <c r="D260" t="s">
        <v>212</v>
      </c>
      <c r="E260" t="s">
        <v>84</v>
      </c>
      <c r="F260" t="s">
        <v>121</v>
      </c>
      <c r="G260" t="s">
        <v>94</v>
      </c>
      <c r="H260" t="s">
        <v>86</v>
      </c>
      <c r="I260" s="17">
        <v>5</v>
      </c>
      <c r="J260" s="16">
        <v>0.05</v>
      </c>
      <c r="K260" t="s">
        <v>112</v>
      </c>
      <c r="L260" t="s">
        <v>126</v>
      </c>
      <c r="M260" s="17">
        <v>1</v>
      </c>
      <c r="N260" t="str" cm="1">
        <f t="array" ref="N260">_xlfn.XLOOKUP(RawSalesTable5[[#This Row],[Product_Code]],ProductLookupTable[[#All],[Product_Code]],ProductLookupTable[[#All],[Product_Name]],"NOT FOUND")</f>
        <v>HD Webcam</v>
      </c>
      <c r="O260" t="str" cm="1">
        <f t="array" ref="O260">_xlfn.XLOOKUP(RawSalesTable5[[#This Row],[Product_Code]],ProductLookupTable[[#All],[Product_Code]],ProductLookupTable[[#All],[Category]],"NOT FOUND")</f>
        <v>Accessories</v>
      </c>
      <c r="P260" cm="1">
        <f t="array" ref="P260">_xlfn.XLOOKUP(RawSalesTable5[[#This Row],[Product_Code]],ProductLookupTable[[#All],[Product_Code]],ProductLookupTable[[#All],[Unit_Price]],"NOT FOUND")</f>
        <v>2899</v>
      </c>
      <c r="Q260" t="str">
        <f>IF(COUNTIF(ProductLookupTable[Product_Code],RawSalesTable5[[#This Row],[Product_Code]])=0,"Missing Product","OK")</f>
        <v>OK</v>
      </c>
      <c r="R260" cm="1">
        <f t="array" ref="R260">_xlfn.XLOOKUP(RawSalesTable5[[#This Row],[Product_Code]],ProductLookupTable[[#All],[Product_Code]],ProductLookupTable[[#All],[Unit_Cost]],"NOT FOUND")</f>
        <v>1700</v>
      </c>
      <c r="S260">
        <f>IFERROR(RawSalesTable5[[#This Row],[Quantity]]*RawSalesTable5[[#This Row],[Unit_Price]],"NOT FOUND")</f>
        <v>14495</v>
      </c>
      <c r="T260">
        <f>IFERROR(RawSalesTable5[[#This Row],[Gross_Revenue]]*RawSalesTable5[[#This Row],[Discount_Pct]],"NOT FOUND")</f>
        <v>724.75</v>
      </c>
      <c r="U260">
        <f>IFERROR(RawSalesTable5[[#This Row],[Gross_Revenue]]-RawSalesTable5[[#This Row],[Discount_Value]],"NOT FOUND")</f>
        <v>13770.25</v>
      </c>
      <c r="V260">
        <f>IFERROR(RawSalesTable5[[#This Row],[Quantity]]*RawSalesTable5[[#This Row],[Unit_Cost]],"NOT FOUND")</f>
        <v>8500</v>
      </c>
      <c r="W260">
        <f>IFERROR(RawSalesTable5[[#This Row],[Net_Revenue]]-RawSalesTable5[[#This Row],[Cost]],"NOT FOUND")</f>
        <v>5270.25</v>
      </c>
      <c r="X260" s="27">
        <f>IF(RawSalesTable5[[#This Row],[Lookup_Status]]="Missing Product","",IFERROR(RawSalesTable5[[#This Row],[Profit]]/RawSalesTable5[[#This Row],[Net_Revenue]],0))</f>
        <v>0.38272725622265391</v>
      </c>
      <c r="Y260">
        <f>RawSalesTable5[[#This Row],[Ship_Date]]-RawSalesTable5[[#This Row],[Order_Date]]</f>
        <v>4</v>
      </c>
      <c r="Z260" s="28">
        <f>DATE(YEAR(RawSalesTable5[[#This Row],[Order_Date]]),MONTH(RawSalesTable5[[#This Row],[Order_Date]]),1)</f>
        <v>45809</v>
      </c>
      <c r="AA260" t="str" cm="1">
        <f t="array" ref="AA260">IF(RawSalesTable5[[#This Row],[Lookup_Status]]="Missing Product","",_xlfn.IFS(RawSalesTable5[[#This Row],[Net_Revenue]]&gt;=20000,"High",RawSalesTable5[[#This Row],[Net_Revenue]]&gt;=10000,"Medium",TRUE,"Low"))</f>
        <v>Medium</v>
      </c>
    </row>
    <row r="261" spans="1:27">
      <c r="A261" t="s">
        <v>393</v>
      </c>
      <c r="B261" s="15">
        <v>45902</v>
      </c>
      <c r="C261" s="15">
        <v>45906</v>
      </c>
      <c r="D261" t="s">
        <v>123</v>
      </c>
      <c r="E261" t="s">
        <v>92</v>
      </c>
      <c r="F261" t="s">
        <v>147</v>
      </c>
      <c r="G261" t="s">
        <v>125</v>
      </c>
      <c r="H261" t="s">
        <v>103</v>
      </c>
      <c r="I261" s="17">
        <v>2</v>
      </c>
      <c r="J261" s="16">
        <v>0.05</v>
      </c>
      <c r="K261" t="s">
        <v>88</v>
      </c>
      <c r="L261" t="s">
        <v>89</v>
      </c>
      <c r="M261" s="17">
        <v>4</v>
      </c>
      <c r="N261" t="str" cm="1">
        <f t="array" ref="N261">_xlfn.XLOOKUP(RawSalesTable5[[#This Row],[Product_Code]],ProductLookupTable[[#All],[Product_Code]],ProductLookupTable[[#All],[Product_Name]],"NOT FOUND")</f>
        <v>LED Desk Lamp</v>
      </c>
      <c r="O261" t="str" cm="1">
        <f t="array" ref="O261">_xlfn.XLOOKUP(RawSalesTable5[[#This Row],[Product_Code]],ProductLookupTable[[#All],[Product_Code]],ProductLookupTable[[#All],[Category]],"NOT FOUND")</f>
        <v>Furniture</v>
      </c>
      <c r="P261" cm="1">
        <f t="array" ref="P261">_xlfn.XLOOKUP(RawSalesTable5[[#This Row],[Product_Code]],ProductLookupTable[[#All],[Product_Code]],ProductLookupTable[[#All],[Unit_Price]],"NOT FOUND")</f>
        <v>1999</v>
      </c>
      <c r="Q261" t="str">
        <f>IF(COUNTIF(ProductLookupTable[Product_Code],RawSalesTable5[[#This Row],[Product_Code]])=0,"Missing Product","OK")</f>
        <v>OK</v>
      </c>
      <c r="R261" cm="1">
        <f t="array" ref="R261">_xlfn.XLOOKUP(RawSalesTable5[[#This Row],[Product_Code]],ProductLookupTable[[#All],[Product_Code]],ProductLookupTable[[#All],[Unit_Cost]],"NOT FOUND")</f>
        <v>1050</v>
      </c>
      <c r="S261">
        <f>IFERROR(RawSalesTable5[[#This Row],[Quantity]]*RawSalesTable5[[#This Row],[Unit_Price]],"NOT FOUND")</f>
        <v>3998</v>
      </c>
      <c r="T261">
        <f>IFERROR(RawSalesTable5[[#This Row],[Gross_Revenue]]*RawSalesTable5[[#This Row],[Discount_Pct]],"NOT FOUND")</f>
        <v>199.9</v>
      </c>
      <c r="U261">
        <f>IFERROR(RawSalesTable5[[#This Row],[Gross_Revenue]]-RawSalesTable5[[#This Row],[Discount_Value]],"NOT FOUND")</f>
        <v>3798.1</v>
      </c>
      <c r="V261">
        <f>IFERROR(RawSalesTable5[[#This Row],[Quantity]]*RawSalesTable5[[#This Row],[Unit_Cost]],"NOT FOUND")</f>
        <v>2100</v>
      </c>
      <c r="W261">
        <f>IFERROR(RawSalesTable5[[#This Row],[Net_Revenue]]-RawSalesTable5[[#This Row],[Cost]],"NOT FOUND")</f>
        <v>1698.1</v>
      </c>
      <c r="X261" s="27">
        <f>IF(RawSalesTable5[[#This Row],[Lookup_Status]]="Missing Product","",IFERROR(RawSalesTable5[[#This Row],[Profit]]/RawSalesTable5[[#This Row],[Net_Revenue]],0))</f>
        <v>0.44709196703614962</v>
      </c>
      <c r="Y261">
        <f>RawSalesTable5[[#This Row],[Ship_Date]]-RawSalesTable5[[#This Row],[Order_Date]]</f>
        <v>4</v>
      </c>
      <c r="Z261" s="28">
        <f>DATE(YEAR(RawSalesTable5[[#This Row],[Order_Date]]),MONTH(RawSalesTable5[[#This Row],[Order_Date]]),1)</f>
        <v>45901</v>
      </c>
      <c r="AA261" t="str" cm="1">
        <f t="array" ref="AA261">IF(RawSalesTable5[[#This Row],[Lookup_Status]]="Missing Product","",_xlfn.IFS(RawSalesTable5[[#This Row],[Net_Revenue]]&gt;=20000,"High",RawSalesTable5[[#This Row],[Net_Revenue]]&gt;=10000,"Medium",TRUE,"Low"))</f>
        <v>Low</v>
      </c>
    </row>
    <row r="262" spans="1:27">
      <c r="A262" t="s">
        <v>394</v>
      </c>
      <c r="B262" s="15">
        <v>46022</v>
      </c>
      <c r="C262" s="15">
        <v>46028</v>
      </c>
      <c r="D262" t="s">
        <v>83</v>
      </c>
      <c r="E262" t="s">
        <v>98</v>
      </c>
      <c r="F262" t="s">
        <v>102</v>
      </c>
      <c r="G262" t="s">
        <v>125</v>
      </c>
      <c r="H262" t="s">
        <v>103</v>
      </c>
      <c r="I262" s="17">
        <v>1</v>
      </c>
      <c r="J262" s="16">
        <v>0</v>
      </c>
      <c r="K262" t="s">
        <v>140</v>
      </c>
      <c r="L262" t="s">
        <v>89</v>
      </c>
      <c r="M262" s="17">
        <v>5</v>
      </c>
      <c r="N262" t="str" cm="1">
        <f t="array" ref="N262">_xlfn.XLOOKUP(RawSalesTable5[[#This Row],[Product_Code]],ProductLookupTable[[#All],[Product_Code]],ProductLookupTable[[#All],[Product_Name]],"NOT FOUND")</f>
        <v>SSD 1TB</v>
      </c>
      <c r="O262" t="str" cm="1">
        <f t="array" ref="O262">_xlfn.XLOOKUP(RawSalesTable5[[#This Row],[Product_Code]],ProductLookupTable[[#All],[Product_Code]],ProductLookupTable[[#All],[Category]],"NOT FOUND")</f>
        <v>Storage</v>
      </c>
      <c r="P262" cm="1">
        <f t="array" ref="P262">_xlfn.XLOOKUP(RawSalesTable5[[#This Row],[Product_Code]],ProductLookupTable[[#All],[Product_Code]],ProductLookupTable[[#All],[Unit_Price]],"NOT FOUND")</f>
        <v>6999</v>
      </c>
      <c r="Q262" t="str">
        <f>IF(COUNTIF(ProductLookupTable[Product_Code],RawSalesTable5[[#This Row],[Product_Code]])=0,"Missing Product","OK")</f>
        <v>OK</v>
      </c>
      <c r="R262" cm="1">
        <f t="array" ref="R262">_xlfn.XLOOKUP(RawSalesTable5[[#This Row],[Product_Code]],ProductLookupTable[[#All],[Product_Code]],ProductLookupTable[[#All],[Unit_Cost]],"NOT FOUND")</f>
        <v>4900</v>
      </c>
      <c r="S262">
        <f>IFERROR(RawSalesTable5[[#This Row],[Quantity]]*RawSalesTable5[[#This Row],[Unit_Price]],"NOT FOUND")</f>
        <v>6999</v>
      </c>
      <c r="T262">
        <f>IFERROR(RawSalesTable5[[#This Row],[Gross_Revenue]]*RawSalesTable5[[#This Row],[Discount_Pct]],"NOT FOUND")</f>
        <v>0</v>
      </c>
      <c r="U262">
        <f>IFERROR(RawSalesTable5[[#This Row],[Gross_Revenue]]-RawSalesTable5[[#This Row],[Discount_Value]],"NOT FOUND")</f>
        <v>6999</v>
      </c>
      <c r="V262">
        <f>IFERROR(RawSalesTable5[[#This Row],[Quantity]]*RawSalesTable5[[#This Row],[Unit_Cost]],"NOT FOUND")</f>
        <v>4900</v>
      </c>
      <c r="W262">
        <f>IFERROR(RawSalesTable5[[#This Row],[Net_Revenue]]-RawSalesTable5[[#This Row],[Cost]],"NOT FOUND")</f>
        <v>2099</v>
      </c>
      <c r="X262" s="27">
        <f>IF(RawSalesTable5[[#This Row],[Lookup_Status]]="Missing Product","",IFERROR(RawSalesTable5[[#This Row],[Profit]]/RawSalesTable5[[#This Row],[Net_Revenue]],0))</f>
        <v>0.29989998571224463</v>
      </c>
      <c r="Y262">
        <f>RawSalesTable5[[#This Row],[Ship_Date]]-RawSalesTable5[[#This Row],[Order_Date]]</f>
        <v>6</v>
      </c>
      <c r="Z262" s="28">
        <f>DATE(YEAR(RawSalesTable5[[#This Row],[Order_Date]]),MONTH(RawSalesTable5[[#This Row],[Order_Date]]),1)</f>
        <v>45992</v>
      </c>
      <c r="AA262" t="str" cm="1">
        <f t="array" ref="AA262">IF(RawSalesTable5[[#This Row],[Lookup_Status]]="Missing Product","",_xlfn.IFS(RawSalesTable5[[#This Row],[Net_Revenue]]&gt;=20000,"High",RawSalesTable5[[#This Row],[Net_Revenue]]&gt;=10000,"Medium",TRUE,"Low"))</f>
        <v>Low</v>
      </c>
    </row>
    <row r="263" spans="1:27">
      <c r="A263" t="s">
        <v>395</v>
      </c>
      <c r="B263" s="15">
        <v>45742</v>
      </c>
      <c r="C263" s="15">
        <v>45750</v>
      </c>
      <c r="D263" t="s">
        <v>114</v>
      </c>
      <c r="E263" t="s">
        <v>101</v>
      </c>
      <c r="F263" t="s">
        <v>154</v>
      </c>
      <c r="G263" t="s">
        <v>108</v>
      </c>
      <c r="H263" t="s">
        <v>87</v>
      </c>
      <c r="I263" s="17">
        <v>1</v>
      </c>
      <c r="J263" s="16">
        <v>0.1</v>
      </c>
      <c r="K263" t="s">
        <v>112</v>
      </c>
      <c r="L263" t="s">
        <v>89</v>
      </c>
      <c r="M263" s="17">
        <v>5</v>
      </c>
      <c r="N263" t="str" cm="1">
        <f t="array" ref="N263">_xlfn.XLOOKUP(RawSalesTable5[[#This Row],[Product_Code]],ProductLookupTable[[#All],[Product_Code]],ProductLookupTable[[#All],[Product_Name]],"NOT FOUND")</f>
        <v>Laptop Stand</v>
      </c>
      <c r="O263" t="str" cm="1">
        <f t="array" ref="O263">_xlfn.XLOOKUP(RawSalesTable5[[#This Row],[Product_Code]],ProductLookupTable[[#All],[Product_Code]],ProductLookupTable[[#All],[Category]],"NOT FOUND")</f>
        <v>Accessories</v>
      </c>
      <c r="P263" cm="1">
        <f t="array" ref="P263">_xlfn.XLOOKUP(RawSalesTable5[[#This Row],[Product_Code]],ProductLookupTable[[#All],[Product_Code]],ProductLookupTable[[#All],[Unit_Price]],"NOT FOUND")</f>
        <v>1899</v>
      </c>
      <c r="Q263" t="str">
        <f>IF(COUNTIF(ProductLookupTable[Product_Code],RawSalesTable5[[#This Row],[Product_Code]])=0,"Missing Product","OK")</f>
        <v>OK</v>
      </c>
      <c r="R263" cm="1">
        <f t="array" ref="R263">_xlfn.XLOOKUP(RawSalesTable5[[#This Row],[Product_Code]],ProductLookupTable[[#All],[Product_Code]],ProductLookupTable[[#All],[Unit_Cost]],"NOT FOUND")</f>
        <v>980</v>
      </c>
      <c r="S263">
        <f>IFERROR(RawSalesTable5[[#This Row],[Quantity]]*RawSalesTable5[[#This Row],[Unit_Price]],"NOT FOUND")</f>
        <v>1899</v>
      </c>
      <c r="T263">
        <f>IFERROR(RawSalesTable5[[#This Row],[Gross_Revenue]]*RawSalesTable5[[#This Row],[Discount_Pct]],"NOT FOUND")</f>
        <v>189.9</v>
      </c>
      <c r="U263">
        <f>IFERROR(RawSalesTable5[[#This Row],[Gross_Revenue]]-RawSalesTable5[[#This Row],[Discount_Value]],"NOT FOUND")</f>
        <v>1709.1</v>
      </c>
      <c r="V263">
        <f>IFERROR(RawSalesTable5[[#This Row],[Quantity]]*RawSalesTable5[[#This Row],[Unit_Cost]],"NOT FOUND")</f>
        <v>980</v>
      </c>
      <c r="W263">
        <f>IFERROR(RawSalesTable5[[#This Row],[Net_Revenue]]-RawSalesTable5[[#This Row],[Cost]],"NOT FOUND")</f>
        <v>729.09999999999991</v>
      </c>
      <c r="X263" s="27">
        <f>IF(RawSalesTable5[[#This Row],[Lookup_Status]]="Missing Product","",IFERROR(RawSalesTable5[[#This Row],[Profit]]/RawSalesTable5[[#This Row],[Net_Revenue]],0))</f>
        <v>0.42659879468726225</v>
      </c>
      <c r="Y263">
        <f>RawSalesTable5[[#This Row],[Ship_Date]]-RawSalesTable5[[#This Row],[Order_Date]]</f>
        <v>8</v>
      </c>
      <c r="Z263" s="28">
        <f>DATE(YEAR(RawSalesTable5[[#This Row],[Order_Date]]),MONTH(RawSalesTable5[[#This Row],[Order_Date]]),1)</f>
        <v>45717</v>
      </c>
      <c r="AA263" t="str" cm="1">
        <f t="array" ref="AA263">IF(RawSalesTable5[[#This Row],[Lookup_Status]]="Missing Product","",_xlfn.IFS(RawSalesTable5[[#This Row],[Net_Revenue]]&gt;=20000,"High",RawSalesTable5[[#This Row],[Net_Revenue]]&gt;=10000,"Medium",TRUE,"Low"))</f>
        <v>Low</v>
      </c>
    </row>
    <row r="264" spans="1:27">
      <c r="A264" t="s">
        <v>396</v>
      </c>
      <c r="B264" s="15">
        <v>46011</v>
      </c>
      <c r="C264" s="15">
        <v>46016</v>
      </c>
      <c r="D264" t="s">
        <v>157</v>
      </c>
      <c r="E264" t="s">
        <v>106</v>
      </c>
      <c r="F264" t="s">
        <v>118</v>
      </c>
      <c r="G264" t="s">
        <v>86</v>
      </c>
      <c r="H264" t="s">
        <v>86</v>
      </c>
      <c r="I264" s="17">
        <v>4</v>
      </c>
      <c r="J264" s="16">
        <v>0.2</v>
      </c>
      <c r="K264" t="s">
        <v>112</v>
      </c>
      <c r="L264" t="s">
        <v>89</v>
      </c>
      <c r="M264" s="17">
        <v>5</v>
      </c>
      <c r="N264" t="str" cm="1">
        <f t="array" ref="N264">_xlfn.XLOOKUP(RawSalesTable5[[#This Row],[Product_Code]],ProductLookupTable[[#All],[Product_Code]],ProductLookupTable[[#All],[Product_Name]],"NOT FOUND")</f>
        <v>Mechanical Keyboard</v>
      </c>
      <c r="O264" t="str" cm="1">
        <f t="array" ref="O264">_xlfn.XLOOKUP(RawSalesTable5[[#This Row],[Product_Code]],ProductLookupTable[[#All],[Product_Code]],ProductLookupTable[[#All],[Category]],"NOT FOUND")</f>
        <v>Accessories</v>
      </c>
      <c r="P264" cm="1">
        <f t="array" ref="P264">_xlfn.XLOOKUP(RawSalesTable5[[#This Row],[Product_Code]],ProductLookupTable[[#All],[Product_Code]],ProductLookupTable[[#All],[Unit_Price]],"NOT FOUND")</f>
        <v>2499</v>
      </c>
      <c r="Q264" t="str">
        <f>IF(COUNTIF(ProductLookupTable[Product_Code],RawSalesTable5[[#This Row],[Product_Code]])=0,"Missing Product","OK")</f>
        <v>OK</v>
      </c>
      <c r="R264" cm="1">
        <f t="array" ref="R264">_xlfn.XLOOKUP(RawSalesTable5[[#This Row],[Product_Code]],ProductLookupTable[[#All],[Product_Code]],ProductLookupTable[[#All],[Unit_Cost]],"NOT FOUND")</f>
        <v>1450</v>
      </c>
      <c r="S264">
        <f>IFERROR(RawSalesTable5[[#This Row],[Quantity]]*RawSalesTable5[[#This Row],[Unit_Price]],"NOT FOUND")</f>
        <v>9996</v>
      </c>
      <c r="T264">
        <f>IFERROR(RawSalesTable5[[#This Row],[Gross_Revenue]]*RawSalesTable5[[#This Row],[Discount_Pct]],"NOT FOUND")</f>
        <v>1999.2</v>
      </c>
      <c r="U264">
        <f>IFERROR(RawSalesTable5[[#This Row],[Gross_Revenue]]-RawSalesTable5[[#This Row],[Discount_Value]],"NOT FOUND")</f>
        <v>7996.8</v>
      </c>
      <c r="V264">
        <f>IFERROR(RawSalesTable5[[#This Row],[Quantity]]*RawSalesTable5[[#This Row],[Unit_Cost]],"NOT FOUND")</f>
        <v>5800</v>
      </c>
      <c r="W264">
        <f>IFERROR(RawSalesTable5[[#This Row],[Net_Revenue]]-RawSalesTable5[[#This Row],[Cost]],"NOT FOUND")</f>
        <v>2196.8000000000002</v>
      </c>
      <c r="X264" s="27">
        <f>IF(RawSalesTable5[[#This Row],[Lookup_Status]]="Missing Product","",IFERROR(RawSalesTable5[[#This Row],[Profit]]/RawSalesTable5[[#This Row],[Net_Revenue]],0))</f>
        <v>0.27470988395358142</v>
      </c>
      <c r="Y264">
        <f>RawSalesTable5[[#This Row],[Ship_Date]]-RawSalesTable5[[#This Row],[Order_Date]]</f>
        <v>5</v>
      </c>
      <c r="Z264" s="28">
        <f>DATE(YEAR(RawSalesTable5[[#This Row],[Order_Date]]),MONTH(RawSalesTable5[[#This Row],[Order_Date]]),1)</f>
        <v>45992</v>
      </c>
      <c r="AA264" t="str" cm="1">
        <f t="array" ref="AA264">IF(RawSalesTable5[[#This Row],[Lookup_Status]]="Missing Product","",_xlfn.IFS(RawSalesTable5[[#This Row],[Net_Revenue]]&gt;=20000,"High",RawSalesTable5[[#This Row],[Net_Revenue]]&gt;=10000,"Medium",TRUE,"Low"))</f>
        <v>Low</v>
      </c>
    </row>
    <row r="265" spans="1:27">
      <c r="A265" t="s">
        <v>397</v>
      </c>
      <c r="B265" s="15">
        <v>45696</v>
      </c>
      <c r="C265" s="15">
        <v>45702</v>
      </c>
      <c r="D265" t="s">
        <v>212</v>
      </c>
      <c r="E265" t="s">
        <v>111</v>
      </c>
      <c r="F265" t="s">
        <v>149</v>
      </c>
      <c r="G265" t="s">
        <v>108</v>
      </c>
      <c r="H265" t="s">
        <v>87</v>
      </c>
      <c r="I265" s="17">
        <v>2</v>
      </c>
      <c r="J265" s="16">
        <v>0</v>
      </c>
      <c r="K265" t="s">
        <v>112</v>
      </c>
      <c r="L265" t="s">
        <v>89</v>
      </c>
      <c r="M265" s="17">
        <v>5</v>
      </c>
      <c r="N265" t="str" cm="1">
        <f t="array" ref="N265">_xlfn.XLOOKUP(RawSalesTable5[[#This Row],[Product_Code]],ProductLookupTable[[#All],[Product_Code]],ProductLookupTable[[#All],[Product_Name]],"NOT FOUND")</f>
        <v>Portable HDD 2TB</v>
      </c>
      <c r="O265" t="str" cm="1">
        <f t="array" ref="O265">_xlfn.XLOOKUP(RawSalesTable5[[#This Row],[Product_Code]],ProductLookupTable[[#All],[Product_Code]],ProductLookupTable[[#All],[Category]],"NOT FOUND")</f>
        <v>Storage</v>
      </c>
      <c r="P265" cm="1">
        <f t="array" ref="P265">_xlfn.XLOOKUP(RawSalesTable5[[#This Row],[Product_Code]],ProductLookupTable[[#All],[Product_Code]],ProductLookupTable[[#All],[Unit_Price]],"NOT FOUND")</f>
        <v>5899</v>
      </c>
      <c r="Q265" t="str">
        <f>IF(COUNTIF(ProductLookupTable[Product_Code],RawSalesTable5[[#This Row],[Product_Code]])=0,"Missing Product","OK")</f>
        <v>OK</v>
      </c>
      <c r="R265" cm="1">
        <f t="array" ref="R265">_xlfn.XLOOKUP(RawSalesTable5[[#This Row],[Product_Code]],ProductLookupTable[[#All],[Product_Code]],ProductLookupTable[[#All],[Unit_Cost]],"NOT FOUND")</f>
        <v>4100</v>
      </c>
      <c r="S265">
        <f>IFERROR(RawSalesTable5[[#This Row],[Quantity]]*RawSalesTable5[[#This Row],[Unit_Price]],"NOT FOUND")</f>
        <v>11798</v>
      </c>
      <c r="T265">
        <f>IFERROR(RawSalesTable5[[#This Row],[Gross_Revenue]]*RawSalesTable5[[#This Row],[Discount_Pct]],"NOT FOUND")</f>
        <v>0</v>
      </c>
      <c r="U265">
        <f>IFERROR(RawSalesTable5[[#This Row],[Gross_Revenue]]-RawSalesTable5[[#This Row],[Discount_Value]],"NOT FOUND")</f>
        <v>11798</v>
      </c>
      <c r="V265">
        <f>IFERROR(RawSalesTable5[[#This Row],[Quantity]]*RawSalesTable5[[#This Row],[Unit_Cost]],"NOT FOUND")</f>
        <v>8200</v>
      </c>
      <c r="W265">
        <f>IFERROR(RawSalesTable5[[#This Row],[Net_Revenue]]-RawSalesTable5[[#This Row],[Cost]],"NOT FOUND")</f>
        <v>3598</v>
      </c>
      <c r="X265" s="27">
        <f>IF(RawSalesTable5[[#This Row],[Lookup_Status]]="Missing Product","",IFERROR(RawSalesTable5[[#This Row],[Profit]]/RawSalesTable5[[#This Row],[Net_Revenue]],0))</f>
        <v>0.30496694354975418</v>
      </c>
      <c r="Y265">
        <f>RawSalesTable5[[#This Row],[Ship_Date]]-RawSalesTable5[[#This Row],[Order_Date]]</f>
        <v>6</v>
      </c>
      <c r="Z265" s="28">
        <f>DATE(YEAR(RawSalesTable5[[#This Row],[Order_Date]]),MONTH(RawSalesTable5[[#This Row],[Order_Date]]),1)</f>
        <v>45689</v>
      </c>
      <c r="AA265" t="str" cm="1">
        <f t="array" ref="AA265">IF(RawSalesTable5[[#This Row],[Lookup_Status]]="Missing Product","",_xlfn.IFS(RawSalesTable5[[#This Row],[Net_Revenue]]&gt;=20000,"High",RawSalesTable5[[#This Row],[Net_Revenue]]&gt;=10000,"Medium",TRUE,"Low"))</f>
        <v>Medium</v>
      </c>
    </row>
    <row r="266" spans="1:27">
      <c r="A266" t="s">
        <v>398</v>
      </c>
      <c r="B266" s="15">
        <v>45876</v>
      </c>
      <c r="C266" s="15">
        <v>45881</v>
      </c>
      <c r="D266" t="s">
        <v>123</v>
      </c>
      <c r="E266" t="s">
        <v>84</v>
      </c>
      <c r="F266" t="s">
        <v>154</v>
      </c>
      <c r="G266" t="s">
        <v>108</v>
      </c>
      <c r="H266" t="s">
        <v>103</v>
      </c>
      <c r="I266" s="17">
        <v>2</v>
      </c>
      <c r="J266" s="16">
        <v>0.05</v>
      </c>
      <c r="K266" t="s">
        <v>88</v>
      </c>
      <c r="L266" t="s">
        <v>89</v>
      </c>
      <c r="M266" s="17">
        <v>4</v>
      </c>
      <c r="N266" t="str" cm="1">
        <f t="array" ref="N266">_xlfn.XLOOKUP(RawSalesTable5[[#This Row],[Product_Code]],ProductLookupTable[[#All],[Product_Code]],ProductLookupTable[[#All],[Product_Name]],"NOT FOUND")</f>
        <v>Laptop Stand</v>
      </c>
      <c r="O266" t="str" cm="1">
        <f t="array" ref="O266">_xlfn.XLOOKUP(RawSalesTable5[[#This Row],[Product_Code]],ProductLookupTable[[#All],[Product_Code]],ProductLookupTable[[#All],[Category]],"NOT FOUND")</f>
        <v>Accessories</v>
      </c>
      <c r="P266" cm="1">
        <f t="array" ref="P266">_xlfn.XLOOKUP(RawSalesTable5[[#This Row],[Product_Code]],ProductLookupTable[[#All],[Product_Code]],ProductLookupTable[[#All],[Unit_Price]],"NOT FOUND")</f>
        <v>1899</v>
      </c>
      <c r="Q266" t="str">
        <f>IF(COUNTIF(ProductLookupTable[Product_Code],RawSalesTable5[[#This Row],[Product_Code]])=0,"Missing Product","OK")</f>
        <v>OK</v>
      </c>
      <c r="R266" cm="1">
        <f t="array" ref="R266">_xlfn.XLOOKUP(RawSalesTable5[[#This Row],[Product_Code]],ProductLookupTable[[#All],[Product_Code]],ProductLookupTable[[#All],[Unit_Cost]],"NOT FOUND")</f>
        <v>980</v>
      </c>
      <c r="S266">
        <f>IFERROR(RawSalesTable5[[#This Row],[Quantity]]*RawSalesTable5[[#This Row],[Unit_Price]],"NOT FOUND")</f>
        <v>3798</v>
      </c>
      <c r="T266">
        <f>IFERROR(RawSalesTable5[[#This Row],[Gross_Revenue]]*RawSalesTable5[[#This Row],[Discount_Pct]],"NOT FOUND")</f>
        <v>189.9</v>
      </c>
      <c r="U266">
        <f>IFERROR(RawSalesTable5[[#This Row],[Gross_Revenue]]-RawSalesTable5[[#This Row],[Discount_Value]],"NOT FOUND")</f>
        <v>3608.1</v>
      </c>
      <c r="V266">
        <f>IFERROR(RawSalesTable5[[#This Row],[Quantity]]*RawSalesTable5[[#This Row],[Unit_Cost]],"NOT FOUND")</f>
        <v>1960</v>
      </c>
      <c r="W266">
        <f>IFERROR(RawSalesTable5[[#This Row],[Net_Revenue]]-RawSalesTable5[[#This Row],[Cost]],"NOT FOUND")</f>
        <v>1648.1</v>
      </c>
      <c r="X266" s="27">
        <f>IF(RawSalesTable5[[#This Row],[Lookup_Status]]="Missing Product","",IFERROR(RawSalesTable5[[#This Row],[Profit]]/RawSalesTable5[[#This Row],[Net_Revenue]],0))</f>
        <v>0.45677780549319585</v>
      </c>
      <c r="Y266">
        <f>RawSalesTable5[[#This Row],[Ship_Date]]-RawSalesTable5[[#This Row],[Order_Date]]</f>
        <v>5</v>
      </c>
      <c r="Z266" s="28">
        <f>DATE(YEAR(RawSalesTable5[[#This Row],[Order_Date]]),MONTH(RawSalesTable5[[#This Row],[Order_Date]]),1)</f>
        <v>45870</v>
      </c>
      <c r="AA266" t="str" cm="1">
        <f t="array" ref="AA266">IF(RawSalesTable5[[#This Row],[Lookup_Status]]="Missing Product","",_xlfn.IFS(RawSalesTable5[[#This Row],[Net_Revenue]]&gt;=20000,"High",RawSalesTable5[[#This Row],[Net_Revenue]]&gt;=10000,"Medium",TRUE,"Low"))</f>
        <v>Low</v>
      </c>
    </row>
    <row r="267" spans="1:27">
      <c r="A267" t="s">
        <v>399</v>
      </c>
      <c r="B267" s="15">
        <v>45742</v>
      </c>
      <c r="C267" s="15">
        <v>45750</v>
      </c>
      <c r="D267" t="s">
        <v>83</v>
      </c>
      <c r="E267" t="s">
        <v>92</v>
      </c>
      <c r="F267" t="s">
        <v>102</v>
      </c>
      <c r="G267" t="s">
        <v>94</v>
      </c>
      <c r="H267" t="s">
        <v>87</v>
      </c>
      <c r="I267" s="17">
        <v>3</v>
      </c>
      <c r="J267" s="16">
        <v>0</v>
      </c>
      <c r="K267" t="s">
        <v>119</v>
      </c>
      <c r="L267" t="s">
        <v>89</v>
      </c>
      <c r="M267" s="17">
        <v>5</v>
      </c>
      <c r="N267" t="str" cm="1">
        <f t="array" ref="N267">_xlfn.XLOOKUP(RawSalesTable5[[#This Row],[Product_Code]],ProductLookupTable[[#All],[Product_Code]],ProductLookupTable[[#All],[Product_Name]],"NOT FOUND")</f>
        <v>SSD 1TB</v>
      </c>
      <c r="O267" t="str" cm="1">
        <f t="array" ref="O267">_xlfn.XLOOKUP(RawSalesTable5[[#This Row],[Product_Code]],ProductLookupTable[[#All],[Product_Code]],ProductLookupTable[[#All],[Category]],"NOT FOUND")</f>
        <v>Storage</v>
      </c>
      <c r="P267" cm="1">
        <f t="array" ref="P267">_xlfn.XLOOKUP(RawSalesTable5[[#This Row],[Product_Code]],ProductLookupTable[[#All],[Product_Code]],ProductLookupTable[[#All],[Unit_Price]],"NOT FOUND")</f>
        <v>6999</v>
      </c>
      <c r="Q267" t="str">
        <f>IF(COUNTIF(ProductLookupTable[Product_Code],RawSalesTable5[[#This Row],[Product_Code]])=0,"Missing Product","OK")</f>
        <v>OK</v>
      </c>
      <c r="R267" cm="1">
        <f t="array" ref="R267">_xlfn.XLOOKUP(RawSalesTable5[[#This Row],[Product_Code]],ProductLookupTable[[#All],[Product_Code]],ProductLookupTable[[#All],[Unit_Cost]],"NOT FOUND")</f>
        <v>4900</v>
      </c>
      <c r="S267">
        <f>IFERROR(RawSalesTable5[[#This Row],[Quantity]]*RawSalesTable5[[#This Row],[Unit_Price]],"NOT FOUND")</f>
        <v>20997</v>
      </c>
      <c r="T267">
        <f>IFERROR(RawSalesTable5[[#This Row],[Gross_Revenue]]*RawSalesTable5[[#This Row],[Discount_Pct]],"NOT FOUND")</f>
        <v>0</v>
      </c>
      <c r="U267">
        <f>IFERROR(RawSalesTable5[[#This Row],[Gross_Revenue]]-RawSalesTable5[[#This Row],[Discount_Value]],"NOT FOUND")</f>
        <v>20997</v>
      </c>
      <c r="V267">
        <f>IFERROR(RawSalesTable5[[#This Row],[Quantity]]*RawSalesTable5[[#This Row],[Unit_Cost]],"NOT FOUND")</f>
        <v>14700</v>
      </c>
      <c r="W267">
        <f>IFERROR(RawSalesTable5[[#This Row],[Net_Revenue]]-RawSalesTable5[[#This Row],[Cost]],"NOT FOUND")</f>
        <v>6297</v>
      </c>
      <c r="X267" s="27">
        <f>IF(RawSalesTable5[[#This Row],[Lookup_Status]]="Missing Product","",IFERROR(RawSalesTable5[[#This Row],[Profit]]/RawSalesTable5[[#This Row],[Net_Revenue]],0))</f>
        <v>0.29989998571224463</v>
      </c>
      <c r="Y267">
        <f>RawSalesTable5[[#This Row],[Ship_Date]]-RawSalesTable5[[#This Row],[Order_Date]]</f>
        <v>8</v>
      </c>
      <c r="Z267" s="28">
        <f>DATE(YEAR(RawSalesTable5[[#This Row],[Order_Date]]),MONTH(RawSalesTable5[[#This Row],[Order_Date]]),1)</f>
        <v>45717</v>
      </c>
      <c r="AA267" t="str" cm="1">
        <f t="array" ref="AA267">IF(RawSalesTable5[[#This Row],[Lookup_Status]]="Missing Product","",_xlfn.IFS(RawSalesTable5[[#This Row],[Net_Revenue]]&gt;=20000,"High",RawSalesTable5[[#This Row],[Net_Revenue]]&gt;=10000,"Medium",TRUE,"Low"))</f>
        <v>High</v>
      </c>
    </row>
    <row r="268" spans="1:27">
      <c r="A268" t="s">
        <v>400</v>
      </c>
      <c r="B268" s="15">
        <v>45787</v>
      </c>
      <c r="C268" s="15">
        <v>45788</v>
      </c>
      <c r="D268" t="s">
        <v>114</v>
      </c>
      <c r="E268" t="s">
        <v>98</v>
      </c>
      <c r="F268" t="s">
        <v>154</v>
      </c>
      <c r="G268" t="s">
        <v>94</v>
      </c>
      <c r="H268" t="s">
        <v>87</v>
      </c>
      <c r="I268" s="17">
        <v>1</v>
      </c>
      <c r="J268" s="16">
        <v>0.1</v>
      </c>
      <c r="K268" t="s">
        <v>119</v>
      </c>
      <c r="L268" t="s">
        <v>89</v>
      </c>
      <c r="M268" s="17">
        <v>5</v>
      </c>
      <c r="N268" t="str" cm="1">
        <f t="array" ref="N268">_xlfn.XLOOKUP(RawSalesTable5[[#This Row],[Product_Code]],ProductLookupTable[[#All],[Product_Code]],ProductLookupTable[[#All],[Product_Name]],"NOT FOUND")</f>
        <v>Laptop Stand</v>
      </c>
      <c r="O268" t="str" cm="1">
        <f t="array" ref="O268">_xlfn.XLOOKUP(RawSalesTable5[[#This Row],[Product_Code]],ProductLookupTable[[#All],[Product_Code]],ProductLookupTable[[#All],[Category]],"NOT FOUND")</f>
        <v>Accessories</v>
      </c>
      <c r="P268" cm="1">
        <f t="array" ref="P268">_xlfn.XLOOKUP(RawSalesTable5[[#This Row],[Product_Code]],ProductLookupTable[[#All],[Product_Code]],ProductLookupTable[[#All],[Unit_Price]],"NOT FOUND")</f>
        <v>1899</v>
      </c>
      <c r="Q268" t="str">
        <f>IF(COUNTIF(ProductLookupTable[Product_Code],RawSalesTable5[[#This Row],[Product_Code]])=0,"Missing Product","OK")</f>
        <v>OK</v>
      </c>
      <c r="R268" cm="1">
        <f t="array" ref="R268">_xlfn.XLOOKUP(RawSalesTable5[[#This Row],[Product_Code]],ProductLookupTable[[#All],[Product_Code]],ProductLookupTable[[#All],[Unit_Cost]],"NOT FOUND")</f>
        <v>980</v>
      </c>
      <c r="S268">
        <f>IFERROR(RawSalesTable5[[#This Row],[Quantity]]*RawSalesTable5[[#This Row],[Unit_Price]],"NOT FOUND")</f>
        <v>1899</v>
      </c>
      <c r="T268">
        <f>IFERROR(RawSalesTable5[[#This Row],[Gross_Revenue]]*RawSalesTable5[[#This Row],[Discount_Pct]],"NOT FOUND")</f>
        <v>189.9</v>
      </c>
      <c r="U268">
        <f>IFERROR(RawSalesTable5[[#This Row],[Gross_Revenue]]-RawSalesTable5[[#This Row],[Discount_Value]],"NOT FOUND")</f>
        <v>1709.1</v>
      </c>
      <c r="V268">
        <f>IFERROR(RawSalesTable5[[#This Row],[Quantity]]*RawSalesTable5[[#This Row],[Unit_Cost]],"NOT FOUND")</f>
        <v>980</v>
      </c>
      <c r="W268">
        <f>IFERROR(RawSalesTable5[[#This Row],[Net_Revenue]]-RawSalesTable5[[#This Row],[Cost]],"NOT FOUND")</f>
        <v>729.09999999999991</v>
      </c>
      <c r="X268" s="27">
        <f>IF(RawSalesTable5[[#This Row],[Lookup_Status]]="Missing Product","",IFERROR(RawSalesTable5[[#This Row],[Profit]]/RawSalesTable5[[#This Row],[Net_Revenue]],0))</f>
        <v>0.42659879468726225</v>
      </c>
      <c r="Y268">
        <f>RawSalesTable5[[#This Row],[Ship_Date]]-RawSalesTable5[[#This Row],[Order_Date]]</f>
        <v>1</v>
      </c>
      <c r="Z268" s="28">
        <f>DATE(YEAR(RawSalesTable5[[#This Row],[Order_Date]]),MONTH(RawSalesTable5[[#This Row],[Order_Date]]),1)</f>
        <v>45778</v>
      </c>
      <c r="AA268" t="str" cm="1">
        <f t="array" ref="AA268">IF(RawSalesTable5[[#This Row],[Lookup_Status]]="Missing Product","",_xlfn.IFS(RawSalesTable5[[#This Row],[Net_Revenue]]&gt;=20000,"High",RawSalesTable5[[#This Row],[Net_Revenue]]&gt;=10000,"Medium",TRUE,"Low"))</f>
        <v>Low</v>
      </c>
    </row>
    <row r="269" spans="1:27">
      <c r="A269" t="s">
        <v>401</v>
      </c>
      <c r="B269" s="15">
        <v>45820</v>
      </c>
      <c r="C269" s="15">
        <v>45823</v>
      </c>
      <c r="D269" t="s">
        <v>157</v>
      </c>
      <c r="E269" t="s">
        <v>101</v>
      </c>
      <c r="F269" t="s">
        <v>121</v>
      </c>
      <c r="G269" t="s">
        <v>108</v>
      </c>
      <c r="H269" t="s">
        <v>86</v>
      </c>
      <c r="I269" s="17">
        <v>4</v>
      </c>
      <c r="J269" s="16">
        <v>0</v>
      </c>
      <c r="K269" t="s">
        <v>95</v>
      </c>
      <c r="L269" t="s">
        <v>89</v>
      </c>
      <c r="M269" s="17">
        <v>5</v>
      </c>
      <c r="N269" t="str" cm="1">
        <f t="array" ref="N269">_xlfn.XLOOKUP(RawSalesTable5[[#This Row],[Product_Code]],ProductLookupTable[[#All],[Product_Code]],ProductLookupTable[[#All],[Product_Name]],"NOT FOUND")</f>
        <v>HD Webcam</v>
      </c>
      <c r="O269" t="str" cm="1">
        <f t="array" ref="O269">_xlfn.XLOOKUP(RawSalesTable5[[#This Row],[Product_Code]],ProductLookupTable[[#All],[Product_Code]],ProductLookupTable[[#All],[Category]],"NOT FOUND")</f>
        <v>Accessories</v>
      </c>
      <c r="P269" cm="1">
        <f t="array" ref="P269">_xlfn.XLOOKUP(RawSalesTable5[[#This Row],[Product_Code]],ProductLookupTable[[#All],[Product_Code]],ProductLookupTable[[#All],[Unit_Price]],"NOT FOUND")</f>
        <v>2899</v>
      </c>
      <c r="Q269" t="str">
        <f>IF(COUNTIF(ProductLookupTable[Product_Code],RawSalesTable5[[#This Row],[Product_Code]])=0,"Missing Product","OK")</f>
        <v>OK</v>
      </c>
      <c r="R269" cm="1">
        <f t="array" ref="R269">_xlfn.XLOOKUP(RawSalesTable5[[#This Row],[Product_Code]],ProductLookupTable[[#All],[Product_Code]],ProductLookupTable[[#All],[Unit_Cost]],"NOT FOUND")</f>
        <v>1700</v>
      </c>
      <c r="S269">
        <f>IFERROR(RawSalesTable5[[#This Row],[Quantity]]*RawSalesTable5[[#This Row],[Unit_Price]],"NOT FOUND")</f>
        <v>11596</v>
      </c>
      <c r="T269">
        <f>IFERROR(RawSalesTable5[[#This Row],[Gross_Revenue]]*RawSalesTable5[[#This Row],[Discount_Pct]],"NOT FOUND")</f>
        <v>0</v>
      </c>
      <c r="U269">
        <f>IFERROR(RawSalesTable5[[#This Row],[Gross_Revenue]]-RawSalesTable5[[#This Row],[Discount_Value]],"NOT FOUND")</f>
        <v>11596</v>
      </c>
      <c r="V269">
        <f>IFERROR(RawSalesTable5[[#This Row],[Quantity]]*RawSalesTable5[[#This Row],[Unit_Cost]],"NOT FOUND")</f>
        <v>6800</v>
      </c>
      <c r="W269">
        <f>IFERROR(RawSalesTable5[[#This Row],[Net_Revenue]]-RawSalesTable5[[#This Row],[Cost]],"NOT FOUND")</f>
        <v>4796</v>
      </c>
      <c r="X269" s="27">
        <f>IF(RawSalesTable5[[#This Row],[Lookup_Status]]="Missing Product","",IFERROR(RawSalesTable5[[#This Row],[Profit]]/RawSalesTable5[[#This Row],[Net_Revenue]],0))</f>
        <v>0.41359089341152122</v>
      </c>
      <c r="Y269">
        <f>RawSalesTable5[[#This Row],[Ship_Date]]-RawSalesTable5[[#This Row],[Order_Date]]</f>
        <v>3</v>
      </c>
      <c r="Z269" s="28">
        <f>DATE(YEAR(RawSalesTable5[[#This Row],[Order_Date]]),MONTH(RawSalesTable5[[#This Row],[Order_Date]]),1)</f>
        <v>45809</v>
      </c>
      <c r="AA269" t="str" cm="1">
        <f t="array" ref="AA269">IF(RawSalesTable5[[#This Row],[Lookup_Status]]="Missing Product","",_xlfn.IFS(RawSalesTable5[[#This Row],[Net_Revenue]]&gt;=20000,"High",RawSalesTable5[[#This Row],[Net_Revenue]]&gt;=10000,"Medium",TRUE,"Low"))</f>
        <v>Medium</v>
      </c>
    </row>
    <row r="270" spans="1:27">
      <c r="A270" t="s">
        <v>402</v>
      </c>
      <c r="B270" s="15">
        <v>45782</v>
      </c>
      <c r="C270" s="15">
        <v>45783</v>
      </c>
      <c r="D270" t="s">
        <v>212</v>
      </c>
      <c r="E270" t="s">
        <v>106</v>
      </c>
      <c r="F270" t="s">
        <v>115</v>
      </c>
      <c r="G270" t="s">
        <v>86</v>
      </c>
      <c r="H270" t="s">
        <v>86</v>
      </c>
      <c r="I270" s="17">
        <v>4</v>
      </c>
      <c r="J270" s="16">
        <v>0.1</v>
      </c>
      <c r="K270" t="s">
        <v>119</v>
      </c>
      <c r="L270" t="s">
        <v>89</v>
      </c>
      <c r="M270" s="17">
        <v>4</v>
      </c>
      <c r="N270" t="str" cm="1">
        <f t="array" ref="N270">_xlfn.XLOOKUP(RawSalesTable5[[#This Row],[Product_Code]],ProductLookupTable[[#All],[Product_Code]],ProductLookupTable[[#All],[Product_Name]],"NOT FOUND")</f>
        <v>USB-C Hub</v>
      </c>
      <c r="O270" t="str" cm="1">
        <f t="array" ref="O270">_xlfn.XLOOKUP(RawSalesTable5[[#This Row],[Product_Code]],ProductLookupTable[[#All],[Product_Code]],ProductLookupTable[[#All],[Category]],"NOT FOUND")</f>
        <v>Accessories</v>
      </c>
      <c r="P270" cm="1">
        <f t="array" ref="P270">_xlfn.XLOOKUP(RawSalesTable5[[#This Row],[Product_Code]],ProductLookupTable[[#All],[Product_Code]],ProductLookupTable[[#All],[Unit_Price]],"NOT FOUND")</f>
        <v>1599</v>
      </c>
      <c r="Q270" t="str">
        <f>IF(COUNTIF(ProductLookupTable[Product_Code],RawSalesTable5[[#This Row],[Product_Code]])=0,"Missing Product","OK")</f>
        <v>OK</v>
      </c>
      <c r="R270" cm="1">
        <f t="array" ref="R270">_xlfn.XLOOKUP(RawSalesTable5[[#This Row],[Product_Code]],ProductLookupTable[[#All],[Product_Code]],ProductLookupTable[[#All],[Unit_Cost]],"NOT FOUND")</f>
        <v>870</v>
      </c>
      <c r="S270">
        <f>IFERROR(RawSalesTable5[[#This Row],[Quantity]]*RawSalesTable5[[#This Row],[Unit_Price]],"NOT FOUND")</f>
        <v>6396</v>
      </c>
      <c r="T270">
        <f>IFERROR(RawSalesTable5[[#This Row],[Gross_Revenue]]*RawSalesTable5[[#This Row],[Discount_Pct]],"NOT FOUND")</f>
        <v>639.6</v>
      </c>
      <c r="U270">
        <f>IFERROR(RawSalesTable5[[#This Row],[Gross_Revenue]]-RawSalesTable5[[#This Row],[Discount_Value]],"NOT FOUND")</f>
        <v>5756.4</v>
      </c>
      <c r="V270">
        <f>IFERROR(RawSalesTable5[[#This Row],[Quantity]]*RawSalesTable5[[#This Row],[Unit_Cost]],"NOT FOUND")</f>
        <v>3480</v>
      </c>
      <c r="W270">
        <f>IFERROR(RawSalesTable5[[#This Row],[Net_Revenue]]-RawSalesTable5[[#This Row],[Cost]],"NOT FOUND")</f>
        <v>2276.3999999999996</v>
      </c>
      <c r="X270" s="27">
        <f>IF(RawSalesTable5[[#This Row],[Lookup_Status]]="Missing Product","",IFERROR(RawSalesTable5[[#This Row],[Profit]]/RawSalesTable5[[#This Row],[Net_Revenue]],0))</f>
        <v>0.3954554930164686</v>
      </c>
      <c r="Y270">
        <f>RawSalesTable5[[#This Row],[Ship_Date]]-RawSalesTable5[[#This Row],[Order_Date]]</f>
        <v>1</v>
      </c>
      <c r="Z270" s="28">
        <f>DATE(YEAR(RawSalesTable5[[#This Row],[Order_Date]]),MONTH(RawSalesTable5[[#This Row],[Order_Date]]),1)</f>
        <v>45778</v>
      </c>
      <c r="AA270" t="str" cm="1">
        <f t="array" ref="AA270">IF(RawSalesTable5[[#This Row],[Lookup_Status]]="Missing Product","",_xlfn.IFS(RawSalesTable5[[#This Row],[Net_Revenue]]&gt;=20000,"High",RawSalesTable5[[#This Row],[Net_Revenue]]&gt;=10000,"Medium",TRUE,"Low"))</f>
        <v>Low</v>
      </c>
    </row>
    <row r="271" spans="1:27">
      <c r="A271" t="s">
        <v>403</v>
      </c>
      <c r="B271" s="15">
        <v>45933</v>
      </c>
      <c r="C271" s="15">
        <v>45939</v>
      </c>
      <c r="D271" t="s">
        <v>123</v>
      </c>
      <c r="E271" t="s">
        <v>111</v>
      </c>
      <c r="F271" t="s">
        <v>138</v>
      </c>
      <c r="G271" t="s">
        <v>125</v>
      </c>
      <c r="H271" t="s">
        <v>103</v>
      </c>
      <c r="I271" s="17">
        <v>4</v>
      </c>
      <c r="J271" s="16">
        <v>0.2</v>
      </c>
      <c r="K271" t="s">
        <v>95</v>
      </c>
      <c r="L271" t="s">
        <v>89</v>
      </c>
      <c r="M271" s="17">
        <v>5</v>
      </c>
      <c r="N271" t="str" cm="1">
        <f t="array" ref="N271">_xlfn.XLOOKUP(RawSalesTable5[[#This Row],[Product_Code]],ProductLookupTable[[#All],[Product_Code]],ProductLookupTable[[#All],[Product_Name]],"NOT FOUND")</f>
        <v>24-inch Monitor</v>
      </c>
      <c r="O271" t="str" cm="1">
        <f t="array" ref="O271">_xlfn.XLOOKUP(RawSalesTable5[[#This Row],[Product_Code]],ProductLookupTable[[#All],[Product_Code]],ProductLookupTable[[#All],[Category]],"NOT FOUND")</f>
        <v>Displays</v>
      </c>
      <c r="P271" cm="1">
        <f t="array" ref="P271">_xlfn.XLOOKUP(RawSalesTable5[[#This Row],[Product_Code]],ProductLookupTable[[#All],[Product_Code]],ProductLookupTable[[#All],[Unit_Price]],"NOT FOUND")</f>
        <v>12999</v>
      </c>
      <c r="Q271" t="str">
        <f>IF(COUNTIF(ProductLookupTable[Product_Code],RawSalesTable5[[#This Row],[Product_Code]])=0,"Missing Product","OK")</f>
        <v>OK</v>
      </c>
      <c r="R271" cm="1">
        <f t="array" ref="R271">_xlfn.XLOOKUP(RawSalesTable5[[#This Row],[Product_Code]],ProductLookupTable[[#All],[Product_Code]],ProductLookupTable[[#All],[Unit_Cost]],"NOT FOUND")</f>
        <v>9100</v>
      </c>
      <c r="S271">
        <f>IFERROR(RawSalesTable5[[#This Row],[Quantity]]*RawSalesTable5[[#This Row],[Unit_Price]],"NOT FOUND")</f>
        <v>51996</v>
      </c>
      <c r="T271">
        <f>IFERROR(RawSalesTable5[[#This Row],[Gross_Revenue]]*RawSalesTable5[[#This Row],[Discount_Pct]],"NOT FOUND")</f>
        <v>10399.200000000001</v>
      </c>
      <c r="U271">
        <f>IFERROR(RawSalesTable5[[#This Row],[Gross_Revenue]]-RawSalesTable5[[#This Row],[Discount_Value]],"NOT FOUND")</f>
        <v>41596.800000000003</v>
      </c>
      <c r="V271">
        <f>IFERROR(RawSalesTable5[[#This Row],[Quantity]]*RawSalesTable5[[#This Row],[Unit_Cost]],"NOT FOUND")</f>
        <v>36400</v>
      </c>
      <c r="W271">
        <f>IFERROR(RawSalesTable5[[#This Row],[Net_Revenue]]-RawSalesTable5[[#This Row],[Cost]],"NOT FOUND")</f>
        <v>5196.8000000000029</v>
      </c>
      <c r="X271" s="27">
        <f>IF(RawSalesTable5[[#This Row],[Lookup_Status]]="Missing Product","",IFERROR(RawSalesTable5[[#This Row],[Profit]]/RawSalesTable5[[#This Row],[Net_Revenue]],0))</f>
        <v>0.12493268712977927</v>
      </c>
      <c r="Y271">
        <f>RawSalesTable5[[#This Row],[Ship_Date]]-RawSalesTable5[[#This Row],[Order_Date]]</f>
        <v>6</v>
      </c>
      <c r="Z271" s="28">
        <f>DATE(YEAR(RawSalesTable5[[#This Row],[Order_Date]]),MONTH(RawSalesTable5[[#This Row],[Order_Date]]),1)</f>
        <v>45931</v>
      </c>
      <c r="AA271" t="str" cm="1">
        <f t="array" ref="AA271">IF(RawSalesTable5[[#This Row],[Lookup_Status]]="Missing Product","",_xlfn.IFS(RawSalesTable5[[#This Row],[Net_Revenue]]&gt;=20000,"High",RawSalesTable5[[#This Row],[Net_Revenue]]&gt;=10000,"Medium",TRUE,"Low"))</f>
        <v>High</v>
      </c>
    </row>
    <row r="272" spans="1:27">
      <c r="A272" t="s">
        <v>404</v>
      </c>
      <c r="B272" s="15">
        <v>45742</v>
      </c>
      <c r="C272" s="15">
        <v>45744</v>
      </c>
      <c r="D272" t="s">
        <v>83</v>
      </c>
      <c r="E272" t="s">
        <v>84</v>
      </c>
      <c r="F272" t="s">
        <v>102</v>
      </c>
      <c r="G272" t="s">
        <v>94</v>
      </c>
      <c r="H272" t="s">
        <v>86</v>
      </c>
      <c r="I272" s="17">
        <v>5</v>
      </c>
      <c r="J272" s="16">
        <v>0.2</v>
      </c>
      <c r="K272" t="s">
        <v>95</v>
      </c>
      <c r="L272" t="s">
        <v>89</v>
      </c>
      <c r="M272" s="17">
        <v>4</v>
      </c>
      <c r="N272" t="str" cm="1">
        <f t="array" ref="N272">_xlfn.XLOOKUP(RawSalesTable5[[#This Row],[Product_Code]],ProductLookupTable[[#All],[Product_Code]],ProductLookupTable[[#All],[Product_Name]],"NOT FOUND")</f>
        <v>SSD 1TB</v>
      </c>
      <c r="O272" t="str" cm="1">
        <f t="array" ref="O272">_xlfn.XLOOKUP(RawSalesTable5[[#This Row],[Product_Code]],ProductLookupTable[[#All],[Product_Code]],ProductLookupTable[[#All],[Category]],"NOT FOUND")</f>
        <v>Storage</v>
      </c>
      <c r="P272" cm="1">
        <f t="array" ref="P272">_xlfn.XLOOKUP(RawSalesTable5[[#This Row],[Product_Code]],ProductLookupTable[[#All],[Product_Code]],ProductLookupTable[[#All],[Unit_Price]],"NOT FOUND")</f>
        <v>6999</v>
      </c>
      <c r="Q272" t="str">
        <f>IF(COUNTIF(ProductLookupTable[Product_Code],RawSalesTable5[[#This Row],[Product_Code]])=0,"Missing Product","OK")</f>
        <v>OK</v>
      </c>
      <c r="R272" cm="1">
        <f t="array" ref="R272">_xlfn.XLOOKUP(RawSalesTable5[[#This Row],[Product_Code]],ProductLookupTable[[#All],[Product_Code]],ProductLookupTable[[#All],[Unit_Cost]],"NOT FOUND")</f>
        <v>4900</v>
      </c>
      <c r="S272">
        <f>IFERROR(RawSalesTable5[[#This Row],[Quantity]]*RawSalesTable5[[#This Row],[Unit_Price]],"NOT FOUND")</f>
        <v>34995</v>
      </c>
      <c r="T272">
        <f>IFERROR(RawSalesTable5[[#This Row],[Gross_Revenue]]*RawSalesTable5[[#This Row],[Discount_Pct]],"NOT FOUND")</f>
        <v>6999</v>
      </c>
      <c r="U272">
        <f>IFERROR(RawSalesTable5[[#This Row],[Gross_Revenue]]-RawSalesTable5[[#This Row],[Discount_Value]],"NOT FOUND")</f>
        <v>27996</v>
      </c>
      <c r="V272">
        <f>IFERROR(RawSalesTable5[[#This Row],[Quantity]]*RawSalesTable5[[#This Row],[Unit_Cost]],"NOT FOUND")</f>
        <v>24500</v>
      </c>
      <c r="W272">
        <f>IFERROR(RawSalesTable5[[#This Row],[Net_Revenue]]-RawSalesTable5[[#This Row],[Cost]],"NOT FOUND")</f>
        <v>3496</v>
      </c>
      <c r="X272" s="27">
        <f>IF(RawSalesTable5[[#This Row],[Lookup_Status]]="Missing Product","",IFERROR(RawSalesTable5[[#This Row],[Profit]]/RawSalesTable5[[#This Row],[Net_Revenue]],0))</f>
        <v>0.12487498214030576</v>
      </c>
      <c r="Y272">
        <f>RawSalesTable5[[#This Row],[Ship_Date]]-RawSalesTable5[[#This Row],[Order_Date]]</f>
        <v>2</v>
      </c>
      <c r="Z272" s="28">
        <f>DATE(YEAR(RawSalesTable5[[#This Row],[Order_Date]]),MONTH(RawSalesTable5[[#This Row],[Order_Date]]),1)</f>
        <v>45717</v>
      </c>
      <c r="AA272" t="str" cm="1">
        <f t="array" ref="AA272">IF(RawSalesTable5[[#This Row],[Lookup_Status]]="Missing Product","",_xlfn.IFS(RawSalesTable5[[#This Row],[Net_Revenue]]&gt;=20000,"High",RawSalesTable5[[#This Row],[Net_Revenue]]&gt;=10000,"Medium",TRUE,"Low"))</f>
        <v>High</v>
      </c>
    </row>
    <row r="273" spans="1:27">
      <c r="A273" t="s">
        <v>405</v>
      </c>
      <c r="B273" s="15">
        <v>45873</v>
      </c>
      <c r="C273" s="15">
        <v>45879</v>
      </c>
      <c r="D273" t="s">
        <v>114</v>
      </c>
      <c r="E273" t="s">
        <v>92</v>
      </c>
      <c r="F273" t="s">
        <v>154</v>
      </c>
      <c r="G273" t="s">
        <v>86</v>
      </c>
      <c r="H273" t="s">
        <v>86</v>
      </c>
      <c r="I273" s="17">
        <v>2</v>
      </c>
      <c r="J273" s="16">
        <v>0</v>
      </c>
      <c r="K273" t="s">
        <v>140</v>
      </c>
      <c r="L273" t="s">
        <v>89</v>
      </c>
      <c r="M273" s="17">
        <v>5</v>
      </c>
      <c r="N273" t="str" cm="1">
        <f t="array" ref="N273">_xlfn.XLOOKUP(RawSalesTable5[[#This Row],[Product_Code]],ProductLookupTable[[#All],[Product_Code]],ProductLookupTable[[#All],[Product_Name]],"NOT FOUND")</f>
        <v>Laptop Stand</v>
      </c>
      <c r="O273" t="str" cm="1">
        <f t="array" ref="O273">_xlfn.XLOOKUP(RawSalesTable5[[#This Row],[Product_Code]],ProductLookupTable[[#All],[Product_Code]],ProductLookupTable[[#All],[Category]],"NOT FOUND")</f>
        <v>Accessories</v>
      </c>
      <c r="P273" cm="1">
        <f t="array" ref="P273">_xlfn.XLOOKUP(RawSalesTable5[[#This Row],[Product_Code]],ProductLookupTable[[#All],[Product_Code]],ProductLookupTable[[#All],[Unit_Price]],"NOT FOUND")</f>
        <v>1899</v>
      </c>
      <c r="Q273" t="str">
        <f>IF(COUNTIF(ProductLookupTable[Product_Code],RawSalesTable5[[#This Row],[Product_Code]])=0,"Missing Product","OK")</f>
        <v>OK</v>
      </c>
      <c r="R273" cm="1">
        <f t="array" ref="R273">_xlfn.XLOOKUP(RawSalesTable5[[#This Row],[Product_Code]],ProductLookupTable[[#All],[Product_Code]],ProductLookupTable[[#All],[Unit_Cost]],"NOT FOUND")</f>
        <v>980</v>
      </c>
      <c r="S273">
        <f>IFERROR(RawSalesTable5[[#This Row],[Quantity]]*RawSalesTable5[[#This Row],[Unit_Price]],"NOT FOUND")</f>
        <v>3798</v>
      </c>
      <c r="T273">
        <f>IFERROR(RawSalesTable5[[#This Row],[Gross_Revenue]]*RawSalesTable5[[#This Row],[Discount_Pct]],"NOT FOUND")</f>
        <v>0</v>
      </c>
      <c r="U273">
        <f>IFERROR(RawSalesTable5[[#This Row],[Gross_Revenue]]-RawSalesTable5[[#This Row],[Discount_Value]],"NOT FOUND")</f>
        <v>3798</v>
      </c>
      <c r="V273">
        <f>IFERROR(RawSalesTable5[[#This Row],[Quantity]]*RawSalesTable5[[#This Row],[Unit_Cost]],"NOT FOUND")</f>
        <v>1960</v>
      </c>
      <c r="W273">
        <f>IFERROR(RawSalesTable5[[#This Row],[Net_Revenue]]-RawSalesTable5[[#This Row],[Cost]],"NOT FOUND")</f>
        <v>1838</v>
      </c>
      <c r="X273" s="27">
        <f>IF(RawSalesTable5[[#This Row],[Lookup_Status]]="Missing Product","",IFERROR(RawSalesTable5[[#This Row],[Profit]]/RawSalesTable5[[#This Row],[Net_Revenue]],0))</f>
        <v>0.48393891521853605</v>
      </c>
      <c r="Y273">
        <f>RawSalesTable5[[#This Row],[Ship_Date]]-RawSalesTable5[[#This Row],[Order_Date]]</f>
        <v>6</v>
      </c>
      <c r="Z273" s="28">
        <f>DATE(YEAR(RawSalesTable5[[#This Row],[Order_Date]]),MONTH(RawSalesTable5[[#This Row],[Order_Date]]),1)</f>
        <v>45870</v>
      </c>
      <c r="AA273" t="str" cm="1">
        <f t="array" ref="AA273">IF(RawSalesTable5[[#This Row],[Lookup_Status]]="Missing Product","",_xlfn.IFS(RawSalesTable5[[#This Row],[Net_Revenue]]&gt;=20000,"High",RawSalesTable5[[#This Row],[Net_Revenue]]&gt;=10000,"Medium",TRUE,"Low"))</f>
        <v>Low</v>
      </c>
    </row>
    <row r="274" spans="1:27">
      <c r="A274" t="s">
        <v>406</v>
      </c>
      <c r="B274" s="15">
        <v>45665</v>
      </c>
      <c r="C274" s="15">
        <v>45666</v>
      </c>
      <c r="D274" t="s">
        <v>157</v>
      </c>
      <c r="E274" t="s">
        <v>98</v>
      </c>
      <c r="F274" t="s">
        <v>115</v>
      </c>
      <c r="G274" t="s">
        <v>94</v>
      </c>
      <c r="H274" t="s">
        <v>103</v>
      </c>
      <c r="I274" s="17">
        <v>5</v>
      </c>
      <c r="J274" s="16">
        <v>0.2</v>
      </c>
      <c r="K274" t="s">
        <v>95</v>
      </c>
      <c r="L274" t="s">
        <v>89</v>
      </c>
      <c r="M274" s="17">
        <v>5</v>
      </c>
      <c r="N274" t="str" cm="1">
        <f t="array" ref="N274">_xlfn.XLOOKUP(RawSalesTable5[[#This Row],[Product_Code]],ProductLookupTable[[#All],[Product_Code]],ProductLookupTable[[#All],[Product_Name]],"NOT FOUND")</f>
        <v>USB-C Hub</v>
      </c>
      <c r="O274" t="str" cm="1">
        <f t="array" ref="O274">_xlfn.XLOOKUP(RawSalesTable5[[#This Row],[Product_Code]],ProductLookupTable[[#All],[Product_Code]],ProductLookupTable[[#All],[Category]],"NOT FOUND")</f>
        <v>Accessories</v>
      </c>
      <c r="P274" cm="1">
        <f t="array" ref="P274">_xlfn.XLOOKUP(RawSalesTable5[[#This Row],[Product_Code]],ProductLookupTable[[#All],[Product_Code]],ProductLookupTable[[#All],[Unit_Price]],"NOT FOUND")</f>
        <v>1599</v>
      </c>
      <c r="Q274" t="str">
        <f>IF(COUNTIF(ProductLookupTable[Product_Code],RawSalesTable5[[#This Row],[Product_Code]])=0,"Missing Product","OK")</f>
        <v>OK</v>
      </c>
      <c r="R274" cm="1">
        <f t="array" ref="R274">_xlfn.XLOOKUP(RawSalesTable5[[#This Row],[Product_Code]],ProductLookupTable[[#All],[Product_Code]],ProductLookupTable[[#All],[Unit_Cost]],"NOT FOUND")</f>
        <v>870</v>
      </c>
      <c r="S274">
        <f>IFERROR(RawSalesTable5[[#This Row],[Quantity]]*RawSalesTable5[[#This Row],[Unit_Price]],"NOT FOUND")</f>
        <v>7995</v>
      </c>
      <c r="T274">
        <f>IFERROR(RawSalesTable5[[#This Row],[Gross_Revenue]]*RawSalesTable5[[#This Row],[Discount_Pct]],"NOT FOUND")</f>
        <v>1599</v>
      </c>
      <c r="U274">
        <f>IFERROR(RawSalesTable5[[#This Row],[Gross_Revenue]]-RawSalesTable5[[#This Row],[Discount_Value]],"NOT FOUND")</f>
        <v>6396</v>
      </c>
      <c r="V274">
        <f>IFERROR(RawSalesTable5[[#This Row],[Quantity]]*RawSalesTable5[[#This Row],[Unit_Cost]],"NOT FOUND")</f>
        <v>4350</v>
      </c>
      <c r="W274">
        <f>IFERROR(RawSalesTable5[[#This Row],[Net_Revenue]]-RawSalesTable5[[#This Row],[Cost]],"NOT FOUND")</f>
        <v>2046</v>
      </c>
      <c r="X274" s="27">
        <f>IF(RawSalesTable5[[#This Row],[Lookup_Status]]="Missing Product","",IFERROR(RawSalesTable5[[#This Row],[Profit]]/RawSalesTable5[[#This Row],[Net_Revenue]],0))</f>
        <v>0.31988742964352718</v>
      </c>
      <c r="Y274">
        <f>RawSalesTable5[[#This Row],[Ship_Date]]-RawSalesTable5[[#This Row],[Order_Date]]</f>
        <v>1</v>
      </c>
      <c r="Z274" s="28">
        <f>DATE(YEAR(RawSalesTable5[[#This Row],[Order_Date]]),MONTH(RawSalesTable5[[#This Row],[Order_Date]]),1)</f>
        <v>45658</v>
      </c>
      <c r="AA274" t="str" cm="1">
        <f t="array" ref="AA274">IF(RawSalesTable5[[#This Row],[Lookup_Status]]="Missing Product","",_xlfn.IFS(RawSalesTable5[[#This Row],[Net_Revenue]]&gt;=20000,"High",RawSalesTable5[[#This Row],[Net_Revenue]]&gt;=10000,"Medium",TRUE,"Low"))</f>
        <v>Low</v>
      </c>
    </row>
    <row r="275" spans="1:27">
      <c r="A275" t="s">
        <v>407</v>
      </c>
      <c r="B275" s="15">
        <v>45993</v>
      </c>
      <c r="C275" s="15">
        <v>45998</v>
      </c>
      <c r="D275" t="s">
        <v>212</v>
      </c>
      <c r="E275" t="s">
        <v>101</v>
      </c>
      <c r="F275" t="s">
        <v>121</v>
      </c>
      <c r="G275" t="s">
        <v>108</v>
      </c>
      <c r="H275" t="s">
        <v>86</v>
      </c>
      <c r="I275" s="17">
        <v>1</v>
      </c>
      <c r="J275" s="16">
        <v>0.1</v>
      </c>
      <c r="K275" t="s">
        <v>140</v>
      </c>
      <c r="L275" t="s">
        <v>89</v>
      </c>
      <c r="M275" s="17">
        <v>3</v>
      </c>
      <c r="N275" t="str" cm="1">
        <f t="array" ref="N275">_xlfn.XLOOKUP(RawSalesTable5[[#This Row],[Product_Code]],ProductLookupTable[[#All],[Product_Code]],ProductLookupTable[[#All],[Product_Name]],"NOT FOUND")</f>
        <v>HD Webcam</v>
      </c>
      <c r="O275" t="str" cm="1">
        <f t="array" ref="O275">_xlfn.XLOOKUP(RawSalesTable5[[#This Row],[Product_Code]],ProductLookupTable[[#All],[Product_Code]],ProductLookupTable[[#All],[Category]],"NOT FOUND")</f>
        <v>Accessories</v>
      </c>
      <c r="P275" cm="1">
        <f t="array" ref="P275">_xlfn.XLOOKUP(RawSalesTable5[[#This Row],[Product_Code]],ProductLookupTable[[#All],[Product_Code]],ProductLookupTable[[#All],[Unit_Price]],"NOT FOUND")</f>
        <v>2899</v>
      </c>
      <c r="Q275" t="str">
        <f>IF(COUNTIF(ProductLookupTable[Product_Code],RawSalesTable5[[#This Row],[Product_Code]])=0,"Missing Product","OK")</f>
        <v>OK</v>
      </c>
      <c r="R275" cm="1">
        <f t="array" ref="R275">_xlfn.XLOOKUP(RawSalesTable5[[#This Row],[Product_Code]],ProductLookupTable[[#All],[Product_Code]],ProductLookupTable[[#All],[Unit_Cost]],"NOT FOUND")</f>
        <v>1700</v>
      </c>
      <c r="S275">
        <f>IFERROR(RawSalesTable5[[#This Row],[Quantity]]*RawSalesTable5[[#This Row],[Unit_Price]],"NOT FOUND")</f>
        <v>2899</v>
      </c>
      <c r="T275">
        <f>IFERROR(RawSalesTable5[[#This Row],[Gross_Revenue]]*RawSalesTable5[[#This Row],[Discount_Pct]],"NOT FOUND")</f>
        <v>289.90000000000003</v>
      </c>
      <c r="U275">
        <f>IFERROR(RawSalesTable5[[#This Row],[Gross_Revenue]]-RawSalesTable5[[#This Row],[Discount_Value]],"NOT FOUND")</f>
        <v>2609.1</v>
      </c>
      <c r="V275">
        <f>IFERROR(RawSalesTable5[[#This Row],[Quantity]]*RawSalesTable5[[#This Row],[Unit_Cost]],"NOT FOUND")</f>
        <v>1700</v>
      </c>
      <c r="W275">
        <f>IFERROR(RawSalesTable5[[#This Row],[Net_Revenue]]-RawSalesTable5[[#This Row],[Cost]],"NOT FOUND")</f>
        <v>909.09999999999991</v>
      </c>
      <c r="X275" s="27">
        <f>IF(RawSalesTable5[[#This Row],[Lookup_Status]]="Missing Product","",IFERROR(RawSalesTable5[[#This Row],[Profit]]/RawSalesTable5[[#This Row],[Net_Revenue]],0))</f>
        <v>0.34843432601280133</v>
      </c>
      <c r="Y275">
        <f>RawSalesTable5[[#This Row],[Ship_Date]]-RawSalesTable5[[#This Row],[Order_Date]]</f>
        <v>5</v>
      </c>
      <c r="Z275" s="28">
        <f>DATE(YEAR(RawSalesTable5[[#This Row],[Order_Date]]),MONTH(RawSalesTable5[[#This Row],[Order_Date]]),1)</f>
        <v>45992</v>
      </c>
      <c r="AA275" t="str" cm="1">
        <f t="array" ref="AA275">IF(RawSalesTable5[[#This Row],[Lookup_Status]]="Missing Product","",_xlfn.IFS(RawSalesTable5[[#This Row],[Net_Revenue]]&gt;=20000,"High",RawSalesTable5[[#This Row],[Net_Revenue]]&gt;=10000,"Medium",TRUE,"Low"))</f>
        <v>Low</v>
      </c>
    </row>
    <row r="276" spans="1:27">
      <c r="A276" t="s">
        <v>408</v>
      </c>
      <c r="B276" s="15">
        <v>46010</v>
      </c>
      <c r="C276" s="15">
        <v>46011</v>
      </c>
      <c r="D276" t="s">
        <v>123</v>
      </c>
      <c r="E276" t="s">
        <v>106</v>
      </c>
      <c r="F276" t="s">
        <v>124</v>
      </c>
      <c r="G276" t="s">
        <v>94</v>
      </c>
      <c r="H276" t="s">
        <v>103</v>
      </c>
      <c r="I276" s="17">
        <v>1</v>
      </c>
      <c r="J276" s="16">
        <v>0.2</v>
      </c>
      <c r="K276" t="s">
        <v>119</v>
      </c>
      <c r="L276" t="s">
        <v>89</v>
      </c>
      <c r="M276" s="17">
        <v>4</v>
      </c>
      <c r="N276" t="str" cm="1">
        <f t="array" ref="N276">_xlfn.XLOOKUP(RawSalesTable5[[#This Row],[Product_Code]],ProductLookupTable[[#All],[Product_Code]],ProductLookupTable[[#All],[Product_Name]],"NOT FOUND")</f>
        <v>Wireless Mouse</v>
      </c>
      <c r="O276" t="str" cm="1">
        <f t="array" ref="O276">_xlfn.XLOOKUP(RawSalesTable5[[#This Row],[Product_Code]],ProductLookupTable[[#All],[Product_Code]],ProductLookupTable[[#All],[Category]],"NOT FOUND")</f>
        <v>Accessories</v>
      </c>
      <c r="P276" cm="1">
        <f t="array" ref="P276">_xlfn.XLOOKUP(RawSalesTable5[[#This Row],[Product_Code]],ProductLookupTable[[#All],[Product_Code]],ProductLookupTable[[#All],[Unit_Price]],"NOT FOUND")</f>
        <v>799</v>
      </c>
      <c r="Q276" t="str">
        <f>IF(COUNTIF(ProductLookupTable[Product_Code],RawSalesTable5[[#This Row],[Product_Code]])=0,"Missing Product","OK")</f>
        <v>OK</v>
      </c>
      <c r="R276" cm="1">
        <f t="array" ref="R276">_xlfn.XLOOKUP(RawSalesTable5[[#This Row],[Product_Code]],ProductLookupTable[[#All],[Product_Code]],ProductLookupTable[[#All],[Unit_Cost]],"NOT FOUND")</f>
        <v>420</v>
      </c>
      <c r="S276">
        <f>IFERROR(RawSalesTable5[[#This Row],[Quantity]]*RawSalesTable5[[#This Row],[Unit_Price]],"NOT FOUND")</f>
        <v>799</v>
      </c>
      <c r="T276">
        <f>IFERROR(RawSalesTable5[[#This Row],[Gross_Revenue]]*RawSalesTable5[[#This Row],[Discount_Pct]],"NOT FOUND")</f>
        <v>159.80000000000001</v>
      </c>
      <c r="U276">
        <f>IFERROR(RawSalesTable5[[#This Row],[Gross_Revenue]]-RawSalesTable5[[#This Row],[Discount_Value]],"NOT FOUND")</f>
        <v>639.20000000000005</v>
      </c>
      <c r="V276">
        <f>IFERROR(RawSalesTable5[[#This Row],[Quantity]]*RawSalesTable5[[#This Row],[Unit_Cost]],"NOT FOUND")</f>
        <v>420</v>
      </c>
      <c r="W276">
        <f>IFERROR(RawSalesTable5[[#This Row],[Net_Revenue]]-RawSalesTable5[[#This Row],[Cost]],"NOT FOUND")</f>
        <v>219.20000000000005</v>
      </c>
      <c r="X276" s="27">
        <f>IF(RawSalesTable5[[#This Row],[Lookup_Status]]="Missing Product","",IFERROR(RawSalesTable5[[#This Row],[Profit]]/RawSalesTable5[[#This Row],[Net_Revenue]],0))</f>
        <v>0.34292866082603257</v>
      </c>
      <c r="Y276">
        <f>RawSalesTable5[[#This Row],[Ship_Date]]-RawSalesTable5[[#This Row],[Order_Date]]</f>
        <v>1</v>
      </c>
      <c r="Z276" s="28">
        <f>DATE(YEAR(RawSalesTable5[[#This Row],[Order_Date]]),MONTH(RawSalesTable5[[#This Row],[Order_Date]]),1)</f>
        <v>45992</v>
      </c>
      <c r="AA276" t="str" cm="1">
        <f t="array" ref="AA276">IF(RawSalesTable5[[#This Row],[Lookup_Status]]="Missing Product","",_xlfn.IFS(RawSalesTable5[[#This Row],[Net_Revenue]]&gt;=20000,"High",RawSalesTable5[[#This Row],[Net_Revenue]]&gt;=10000,"Medium",TRUE,"Low"))</f>
        <v>Low</v>
      </c>
    </row>
    <row r="277" spans="1:27">
      <c r="A277" t="s">
        <v>409</v>
      </c>
      <c r="B277" s="15">
        <v>45754</v>
      </c>
      <c r="C277" s="15">
        <v>45757</v>
      </c>
      <c r="D277" t="s">
        <v>83</v>
      </c>
      <c r="E277" t="s">
        <v>111</v>
      </c>
      <c r="F277" t="s">
        <v>85</v>
      </c>
      <c r="G277" t="s">
        <v>108</v>
      </c>
      <c r="H277" t="s">
        <v>86</v>
      </c>
      <c r="I277" s="17">
        <v>4</v>
      </c>
      <c r="J277" s="16">
        <v>0.2</v>
      </c>
      <c r="K277" t="s">
        <v>119</v>
      </c>
      <c r="L277" t="s">
        <v>89</v>
      </c>
      <c r="M277" s="17">
        <v>5</v>
      </c>
      <c r="N277" t="str" cm="1">
        <f t="array" ref="N277">_xlfn.XLOOKUP(RawSalesTable5[[#This Row],[Product_Code]],ProductLookupTable[[#All],[Product_Code]],ProductLookupTable[[#All],[Product_Name]],"NOT FOUND")</f>
        <v>Ergonomic Chair</v>
      </c>
      <c r="O277" t="str" cm="1">
        <f t="array" ref="O277">_xlfn.XLOOKUP(RawSalesTable5[[#This Row],[Product_Code]],ProductLookupTable[[#All],[Product_Code]],ProductLookupTable[[#All],[Category]],"NOT FOUND")</f>
        <v>Furniture</v>
      </c>
      <c r="P277" cm="1">
        <f t="array" ref="P277">_xlfn.XLOOKUP(RawSalesTable5[[#This Row],[Product_Code]],ProductLookupTable[[#All],[Product_Code]],ProductLookupTable[[#All],[Unit_Price]],"NOT FOUND")</f>
        <v>10499</v>
      </c>
      <c r="Q277" t="str">
        <f>IF(COUNTIF(ProductLookupTable[Product_Code],RawSalesTable5[[#This Row],[Product_Code]])=0,"Missing Product","OK")</f>
        <v>OK</v>
      </c>
      <c r="R277" cm="1">
        <f t="array" ref="R277">_xlfn.XLOOKUP(RawSalesTable5[[#This Row],[Product_Code]],ProductLookupTable[[#All],[Product_Code]],ProductLookupTable[[#All],[Unit_Cost]],"NOT FOUND")</f>
        <v>7600</v>
      </c>
      <c r="S277">
        <f>IFERROR(RawSalesTable5[[#This Row],[Quantity]]*RawSalesTable5[[#This Row],[Unit_Price]],"NOT FOUND")</f>
        <v>41996</v>
      </c>
      <c r="T277">
        <f>IFERROR(RawSalesTable5[[#This Row],[Gross_Revenue]]*RawSalesTable5[[#This Row],[Discount_Pct]],"NOT FOUND")</f>
        <v>8399.2000000000007</v>
      </c>
      <c r="U277">
        <f>IFERROR(RawSalesTable5[[#This Row],[Gross_Revenue]]-RawSalesTable5[[#This Row],[Discount_Value]],"NOT FOUND")</f>
        <v>33596.800000000003</v>
      </c>
      <c r="V277">
        <f>IFERROR(RawSalesTable5[[#This Row],[Quantity]]*RawSalesTable5[[#This Row],[Unit_Cost]],"NOT FOUND")</f>
        <v>30400</v>
      </c>
      <c r="W277">
        <f>IFERROR(RawSalesTable5[[#This Row],[Net_Revenue]]-RawSalesTable5[[#This Row],[Cost]],"NOT FOUND")</f>
        <v>3196.8000000000029</v>
      </c>
      <c r="X277" s="27">
        <f>IF(RawSalesTable5[[#This Row],[Lookup_Status]]="Missing Product","",IFERROR(RawSalesTable5[[#This Row],[Profit]]/RawSalesTable5[[#This Row],[Net_Revenue]],0))</f>
        <v>9.5151919230402976E-2</v>
      </c>
      <c r="Y277">
        <f>RawSalesTable5[[#This Row],[Ship_Date]]-RawSalesTable5[[#This Row],[Order_Date]]</f>
        <v>3</v>
      </c>
      <c r="Z277" s="28">
        <f>DATE(YEAR(RawSalesTable5[[#This Row],[Order_Date]]),MONTH(RawSalesTable5[[#This Row],[Order_Date]]),1)</f>
        <v>45748</v>
      </c>
      <c r="AA277" t="str" cm="1">
        <f t="array" ref="AA277">IF(RawSalesTable5[[#This Row],[Lookup_Status]]="Missing Product","",_xlfn.IFS(RawSalesTable5[[#This Row],[Net_Revenue]]&gt;=20000,"High",RawSalesTable5[[#This Row],[Net_Revenue]]&gt;=10000,"Medium",TRUE,"Low"))</f>
        <v>High</v>
      </c>
    </row>
    <row r="278" spans="1:27">
      <c r="A278" t="s">
        <v>410</v>
      </c>
      <c r="B278" s="15">
        <v>45990</v>
      </c>
      <c r="C278" s="15">
        <v>45996</v>
      </c>
      <c r="D278" t="s">
        <v>114</v>
      </c>
      <c r="E278" t="s">
        <v>84</v>
      </c>
      <c r="F278" t="s">
        <v>124</v>
      </c>
      <c r="G278" t="s">
        <v>108</v>
      </c>
      <c r="H278" t="s">
        <v>87</v>
      </c>
      <c r="I278" s="17">
        <v>2</v>
      </c>
      <c r="J278" s="16">
        <v>0.15</v>
      </c>
      <c r="K278" t="s">
        <v>112</v>
      </c>
      <c r="L278" t="s">
        <v>89</v>
      </c>
      <c r="M278" s="17">
        <v>4</v>
      </c>
      <c r="N278" t="str" cm="1">
        <f t="array" ref="N278">_xlfn.XLOOKUP(RawSalesTable5[[#This Row],[Product_Code]],ProductLookupTable[[#All],[Product_Code]],ProductLookupTable[[#All],[Product_Name]],"NOT FOUND")</f>
        <v>Wireless Mouse</v>
      </c>
      <c r="O278" t="str" cm="1">
        <f t="array" ref="O278">_xlfn.XLOOKUP(RawSalesTable5[[#This Row],[Product_Code]],ProductLookupTable[[#All],[Product_Code]],ProductLookupTable[[#All],[Category]],"NOT FOUND")</f>
        <v>Accessories</v>
      </c>
      <c r="P278" cm="1">
        <f t="array" ref="P278">_xlfn.XLOOKUP(RawSalesTable5[[#This Row],[Product_Code]],ProductLookupTable[[#All],[Product_Code]],ProductLookupTable[[#All],[Unit_Price]],"NOT FOUND")</f>
        <v>799</v>
      </c>
      <c r="Q278" t="str">
        <f>IF(COUNTIF(ProductLookupTable[Product_Code],RawSalesTable5[[#This Row],[Product_Code]])=0,"Missing Product","OK")</f>
        <v>OK</v>
      </c>
      <c r="R278" cm="1">
        <f t="array" ref="R278">_xlfn.XLOOKUP(RawSalesTable5[[#This Row],[Product_Code]],ProductLookupTable[[#All],[Product_Code]],ProductLookupTable[[#All],[Unit_Cost]],"NOT FOUND")</f>
        <v>420</v>
      </c>
      <c r="S278">
        <f>IFERROR(RawSalesTable5[[#This Row],[Quantity]]*RawSalesTable5[[#This Row],[Unit_Price]],"NOT FOUND")</f>
        <v>1598</v>
      </c>
      <c r="T278">
        <f>IFERROR(RawSalesTable5[[#This Row],[Gross_Revenue]]*RawSalesTable5[[#This Row],[Discount_Pct]],"NOT FOUND")</f>
        <v>239.7</v>
      </c>
      <c r="U278">
        <f>IFERROR(RawSalesTable5[[#This Row],[Gross_Revenue]]-RawSalesTable5[[#This Row],[Discount_Value]],"NOT FOUND")</f>
        <v>1358.3</v>
      </c>
      <c r="V278">
        <f>IFERROR(RawSalesTable5[[#This Row],[Quantity]]*RawSalesTable5[[#This Row],[Unit_Cost]],"NOT FOUND")</f>
        <v>840</v>
      </c>
      <c r="W278">
        <f>IFERROR(RawSalesTable5[[#This Row],[Net_Revenue]]-RawSalesTable5[[#This Row],[Cost]],"NOT FOUND")</f>
        <v>518.29999999999995</v>
      </c>
      <c r="X278" s="27">
        <f>IF(RawSalesTable5[[#This Row],[Lookup_Status]]="Missing Product","",IFERROR(RawSalesTable5[[#This Row],[Profit]]/RawSalesTable5[[#This Row],[Net_Revenue]],0))</f>
        <v>0.38157991607156</v>
      </c>
      <c r="Y278">
        <f>RawSalesTable5[[#This Row],[Ship_Date]]-RawSalesTable5[[#This Row],[Order_Date]]</f>
        <v>6</v>
      </c>
      <c r="Z278" s="28">
        <f>DATE(YEAR(RawSalesTable5[[#This Row],[Order_Date]]),MONTH(RawSalesTable5[[#This Row],[Order_Date]]),1)</f>
        <v>45962</v>
      </c>
      <c r="AA278" t="str" cm="1">
        <f t="array" ref="AA278">IF(RawSalesTable5[[#This Row],[Lookup_Status]]="Missing Product","",_xlfn.IFS(RawSalesTable5[[#This Row],[Net_Revenue]]&gt;=20000,"High",RawSalesTable5[[#This Row],[Net_Revenue]]&gt;=10000,"Medium",TRUE,"Low"))</f>
        <v>Low</v>
      </c>
    </row>
    <row r="279" spans="1:27">
      <c r="A279" t="s">
        <v>411</v>
      </c>
      <c r="B279" s="15">
        <v>45979</v>
      </c>
      <c r="C279" s="15">
        <v>45981</v>
      </c>
      <c r="D279" t="s">
        <v>157</v>
      </c>
      <c r="E279" t="s">
        <v>92</v>
      </c>
      <c r="F279" t="s">
        <v>154</v>
      </c>
      <c r="G279" t="s">
        <v>94</v>
      </c>
      <c r="H279" t="s">
        <v>87</v>
      </c>
      <c r="I279" s="17">
        <v>1</v>
      </c>
      <c r="J279" s="16">
        <v>0.05</v>
      </c>
      <c r="K279" t="s">
        <v>88</v>
      </c>
      <c r="L279" t="s">
        <v>89</v>
      </c>
      <c r="M279" s="17">
        <v>3</v>
      </c>
      <c r="N279" t="str" cm="1">
        <f t="array" ref="N279">_xlfn.XLOOKUP(RawSalesTable5[[#This Row],[Product_Code]],ProductLookupTable[[#All],[Product_Code]],ProductLookupTable[[#All],[Product_Name]],"NOT FOUND")</f>
        <v>Laptop Stand</v>
      </c>
      <c r="O279" t="str" cm="1">
        <f t="array" ref="O279">_xlfn.XLOOKUP(RawSalesTable5[[#This Row],[Product_Code]],ProductLookupTable[[#All],[Product_Code]],ProductLookupTable[[#All],[Category]],"NOT FOUND")</f>
        <v>Accessories</v>
      </c>
      <c r="P279" cm="1">
        <f t="array" ref="P279">_xlfn.XLOOKUP(RawSalesTable5[[#This Row],[Product_Code]],ProductLookupTable[[#All],[Product_Code]],ProductLookupTable[[#All],[Unit_Price]],"NOT FOUND")</f>
        <v>1899</v>
      </c>
      <c r="Q279" t="str">
        <f>IF(COUNTIF(ProductLookupTable[Product_Code],RawSalesTable5[[#This Row],[Product_Code]])=0,"Missing Product","OK")</f>
        <v>OK</v>
      </c>
      <c r="R279" cm="1">
        <f t="array" ref="R279">_xlfn.XLOOKUP(RawSalesTable5[[#This Row],[Product_Code]],ProductLookupTable[[#All],[Product_Code]],ProductLookupTable[[#All],[Unit_Cost]],"NOT FOUND")</f>
        <v>980</v>
      </c>
      <c r="S279">
        <f>IFERROR(RawSalesTable5[[#This Row],[Quantity]]*RawSalesTable5[[#This Row],[Unit_Price]],"NOT FOUND")</f>
        <v>1899</v>
      </c>
      <c r="T279">
        <f>IFERROR(RawSalesTable5[[#This Row],[Gross_Revenue]]*RawSalesTable5[[#This Row],[Discount_Pct]],"NOT FOUND")</f>
        <v>94.95</v>
      </c>
      <c r="U279">
        <f>IFERROR(RawSalesTable5[[#This Row],[Gross_Revenue]]-RawSalesTable5[[#This Row],[Discount_Value]],"NOT FOUND")</f>
        <v>1804.05</v>
      </c>
      <c r="V279">
        <f>IFERROR(RawSalesTable5[[#This Row],[Quantity]]*RawSalesTable5[[#This Row],[Unit_Cost]],"NOT FOUND")</f>
        <v>980</v>
      </c>
      <c r="W279">
        <f>IFERROR(RawSalesTable5[[#This Row],[Net_Revenue]]-RawSalesTable5[[#This Row],[Cost]],"NOT FOUND")</f>
        <v>824.05</v>
      </c>
      <c r="X279" s="27">
        <f>IF(RawSalesTable5[[#This Row],[Lookup_Status]]="Missing Product","",IFERROR(RawSalesTable5[[#This Row],[Profit]]/RawSalesTable5[[#This Row],[Net_Revenue]],0))</f>
        <v>0.45677780549319585</v>
      </c>
      <c r="Y279">
        <f>RawSalesTable5[[#This Row],[Ship_Date]]-RawSalesTable5[[#This Row],[Order_Date]]</f>
        <v>2</v>
      </c>
      <c r="Z279" s="28">
        <f>DATE(YEAR(RawSalesTable5[[#This Row],[Order_Date]]),MONTH(RawSalesTable5[[#This Row],[Order_Date]]),1)</f>
        <v>45962</v>
      </c>
      <c r="AA279" t="str" cm="1">
        <f t="array" ref="AA279">IF(RawSalesTable5[[#This Row],[Lookup_Status]]="Missing Product","",_xlfn.IFS(RawSalesTable5[[#This Row],[Net_Revenue]]&gt;=20000,"High",RawSalesTable5[[#This Row],[Net_Revenue]]&gt;=10000,"Medium",TRUE,"Low"))</f>
        <v>Low</v>
      </c>
    </row>
    <row r="280" spans="1:27">
      <c r="A280" t="s">
        <v>412</v>
      </c>
      <c r="B280" s="15">
        <v>45783</v>
      </c>
      <c r="C280" s="15">
        <v>45789</v>
      </c>
      <c r="D280" t="s">
        <v>212</v>
      </c>
      <c r="E280" t="s">
        <v>98</v>
      </c>
      <c r="F280" t="s">
        <v>85</v>
      </c>
      <c r="G280" t="s">
        <v>86</v>
      </c>
      <c r="H280" t="s">
        <v>103</v>
      </c>
      <c r="I280" s="17">
        <v>2</v>
      </c>
      <c r="J280" s="16">
        <v>0</v>
      </c>
      <c r="K280" t="s">
        <v>88</v>
      </c>
      <c r="L280" t="s">
        <v>89</v>
      </c>
      <c r="M280" s="17">
        <v>4</v>
      </c>
      <c r="N280" t="str" cm="1">
        <f t="array" ref="N280">_xlfn.XLOOKUP(RawSalesTable5[[#This Row],[Product_Code]],ProductLookupTable[[#All],[Product_Code]],ProductLookupTable[[#All],[Product_Name]],"NOT FOUND")</f>
        <v>Ergonomic Chair</v>
      </c>
      <c r="O280" t="str" cm="1">
        <f t="array" ref="O280">_xlfn.XLOOKUP(RawSalesTable5[[#This Row],[Product_Code]],ProductLookupTable[[#All],[Product_Code]],ProductLookupTable[[#All],[Category]],"NOT FOUND")</f>
        <v>Furniture</v>
      </c>
      <c r="P280" cm="1">
        <f t="array" ref="P280">_xlfn.XLOOKUP(RawSalesTable5[[#This Row],[Product_Code]],ProductLookupTable[[#All],[Product_Code]],ProductLookupTable[[#All],[Unit_Price]],"NOT FOUND")</f>
        <v>10499</v>
      </c>
      <c r="Q280" t="str">
        <f>IF(COUNTIF(ProductLookupTable[Product_Code],RawSalesTable5[[#This Row],[Product_Code]])=0,"Missing Product","OK")</f>
        <v>OK</v>
      </c>
      <c r="R280" cm="1">
        <f t="array" ref="R280">_xlfn.XLOOKUP(RawSalesTable5[[#This Row],[Product_Code]],ProductLookupTable[[#All],[Product_Code]],ProductLookupTable[[#All],[Unit_Cost]],"NOT FOUND")</f>
        <v>7600</v>
      </c>
      <c r="S280">
        <f>IFERROR(RawSalesTable5[[#This Row],[Quantity]]*RawSalesTable5[[#This Row],[Unit_Price]],"NOT FOUND")</f>
        <v>20998</v>
      </c>
      <c r="T280">
        <f>IFERROR(RawSalesTable5[[#This Row],[Gross_Revenue]]*RawSalesTable5[[#This Row],[Discount_Pct]],"NOT FOUND")</f>
        <v>0</v>
      </c>
      <c r="U280">
        <f>IFERROR(RawSalesTable5[[#This Row],[Gross_Revenue]]-RawSalesTable5[[#This Row],[Discount_Value]],"NOT FOUND")</f>
        <v>20998</v>
      </c>
      <c r="V280">
        <f>IFERROR(RawSalesTable5[[#This Row],[Quantity]]*RawSalesTable5[[#This Row],[Unit_Cost]],"NOT FOUND")</f>
        <v>15200</v>
      </c>
      <c r="W280">
        <f>IFERROR(RawSalesTable5[[#This Row],[Net_Revenue]]-RawSalesTable5[[#This Row],[Cost]],"NOT FOUND")</f>
        <v>5798</v>
      </c>
      <c r="X280" s="27">
        <f>IF(RawSalesTable5[[#This Row],[Lookup_Status]]="Missing Product","",IFERROR(RawSalesTable5[[#This Row],[Profit]]/RawSalesTable5[[#This Row],[Net_Revenue]],0))</f>
        <v>0.27612153538432233</v>
      </c>
      <c r="Y280">
        <f>RawSalesTable5[[#This Row],[Ship_Date]]-RawSalesTable5[[#This Row],[Order_Date]]</f>
        <v>6</v>
      </c>
      <c r="Z280" s="28">
        <f>DATE(YEAR(RawSalesTable5[[#This Row],[Order_Date]]),MONTH(RawSalesTable5[[#This Row],[Order_Date]]),1)</f>
        <v>45778</v>
      </c>
      <c r="AA280" t="str" cm="1">
        <f t="array" ref="AA280">IF(RawSalesTable5[[#This Row],[Lookup_Status]]="Missing Product","",_xlfn.IFS(RawSalesTable5[[#This Row],[Net_Revenue]]&gt;=20000,"High",RawSalesTable5[[#This Row],[Net_Revenue]]&gt;=10000,"Medium",TRUE,"Low"))</f>
        <v>High</v>
      </c>
    </row>
    <row r="281" spans="1:27">
      <c r="A281" t="s">
        <v>413</v>
      </c>
      <c r="B281" s="15">
        <v>45846</v>
      </c>
      <c r="C281" s="15">
        <v>45852</v>
      </c>
      <c r="D281" t="s">
        <v>123</v>
      </c>
      <c r="E281" t="s">
        <v>101</v>
      </c>
      <c r="F281" t="s">
        <v>147</v>
      </c>
      <c r="G281" t="s">
        <v>86</v>
      </c>
      <c r="H281" t="s">
        <v>86</v>
      </c>
      <c r="I281" s="17">
        <v>1</v>
      </c>
      <c r="J281" s="16">
        <v>0.2</v>
      </c>
      <c r="K281" t="s">
        <v>119</v>
      </c>
      <c r="L281" t="s">
        <v>89</v>
      </c>
      <c r="M281" s="17">
        <v>5</v>
      </c>
      <c r="N281" t="str" cm="1">
        <f t="array" ref="N281">_xlfn.XLOOKUP(RawSalesTable5[[#This Row],[Product_Code]],ProductLookupTable[[#All],[Product_Code]],ProductLookupTable[[#All],[Product_Name]],"NOT FOUND")</f>
        <v>LED Desk Lamp</v>
      </c>
      <c r="O281" t="str" cm="1">
        <f t="array" ref="O281">_xlfn.XLOOKUP(RawSalesTable5[[#This Row],[Product_Code]],ProductLookupTable[[#All],[Product_Code]],ProductLookupTable[[#All],[Category]],"NOT FOUND")</f>
        <v>Furniture</v>
      </c>
      <c r="P281" cm="1">
        <f t="array" ref="P281">_xlfn.XLOOKUP(RawSalesTable5[[#This Row],[Product_Code]],ProductLookupTable[[#All],[Product_Code]],ProductLookupTable[[#All],[Unit_Price]],"NOT FOUND")</f>
        <v>1999</v>
      </c>
      <c r="Q281" t="str">
        <f>IF(COUNTIF(ProductLookupTable[Product_Code],RawSalesTable5[[#This Row],[Product_Code]])=0,"Missing Product","OK")</f>
        <v>OK</v>
      </c>
      <c r="R281" cm="1">
        <f t="array" ref="R281">_xlfn.XLOOKUP(RawSalesTable5[[#This Row],[Product_Code]],ProductLookupTable[[#All],[Product_Code]],ProductLookupTable[[#All],[Unit_Cost]],"NOT FOUND")</f>
        <v>1050</v>
      </c>
      <c r="S281">
        <f>IFERROR(RawSalesTable5[[#This Row],[Quantity]]*RawSalesTable5[[#This Row],[Unit_Price]],"NOT FOUND")</f>
        <v>1999</v>
      </c>
      <c r="T281">
        <f>IFERROR(RawSalesTable5[[#This Row],[Gross_Revenue]]*RawSalesTable5[[#This Row],[Discount_Pct]],"NOT FOUND")</f>
        <v>399.8</v>
      </c>
      <c r="U281">
        <f>IFERROR(RawSalesTable5[[#This Row],[Gross_Revenue]]-RawSalesTable5[[#This Row],[Discount_Value]],"NOT FOUND")</f>
        <v>1599.2</v>
      </c>
      <c r="V281">
        <f>IFERROR(RawSalesTable5[[#This Row],[Quantity]]*RawSalesTable5[[#This Row],[Unit_Cost]],"NOT FOUND")</f>
        <v>1050</v>
      </c>
      <c r="W281">
        <f>IFERROR(RawSalesTable5[[#This Row],[Net_Revenue]]-RawSalesTable5[[#This Row],[Cost]],"NOT FOUND")</f>
        <v>549.20000000000005</v>
      </c>
      <c r="X281" s="27">
        <f>IF(RawSalesTable5[[#This Row],[Lookup_Status]]="Missing Product","",IFERROR(RawSalesTable5[[#This Row],[Profit]]/RawSalesTable5[[#This Row],[Net_Revenue]],0))</f>
        <v>0.34342171085542772</v>
      </c>
      <c r="Y281">
        <f>RawSalesTable5[[#This Row],[Ship_Date]]-RawSalesTable5[[#This Row],[Order_Date]]</f>
        <v>6</v>
      </c>
      <c r="Z281" s="28">
        <f>DATE(YEAR(RawSalesTable5[[#This Row],[Order_Date]]),MONTH(RawSalesTable5[[#This Row],[Order_Date]]),1)</f>
        <v>45839</v>
      </c>
      <c r="AA281" t="str" cm="1">
        <f t="array" ref="AA281">IF(RawSalesTable5[[#This Row],[Lookup_Status]]="Missing Product","",_xlfn.IFS(RawSalesTable5[[#This Row],[Net_Revenue]]&gt;=20000,"High",RawSalesTable5[[#This Row],[Net_Revenue]]&gt;=10000,"Medium",TRUE,"Low"))</f>
        <v>Low</v>
      </c>
    </row>
    <row r="282" spans="1:27">
      <c r="A282" t="s">
        <v>414</v>
      </c>
      <c r="B282" s="15">
        <v>45799</v>
      </c>
      <c r="C282" s="15">
        <v>45803</v>
      </c>
      <c r="D282" t="s">
        <v>83</v>
      </c>
      <c r="E282" t="s">
        <v>106</v>
      </c>
      <c r="F282" t="s">
        <v>121</v>
      </c>
      <c r="G282" t="s">
        <v>94</v>
      </c>
      <c r="H282" t="s">
        <v>87</v>
      </c>
      <c r="I282" s="17">
        <v>5</v>
      </c>
      <c r="J282" s="16">
        <v>0</v>
      </c>
      <c r="K282" t="s">
        <v>119</v>
      </c>
      <c r="L282" t="s">
        <v>89</v>
      </c>
      <c r="M282" s="17">
        <v>4</v>
      </c>
      <c r="N282" t="str" cm="1">
        <f t="array" ref="N282">_xlfn.XLOOKUP(RawSalesTable5[[#This Row],[Product_Code]],ProductLookupTable[[#All],[Product_Code]],ProductLookupTable[[#All],[Product_Name]],"NOT FOUND")</f>
        <v>HD Webcam</v>
      </c>
      <c r="O282" t="str" cm="1">
        <f t="array" ref="O282">_xlfn.XLOOKUP(RawSalesTable5[[#This Row],[Product_Code]],ProductLookupTable[[#All],[Product_Code]],ProductLookupTable[[#All],[Category]],"NOT FOUND")</f>
        <v>Accessories</v>
      </c>
      <c r="P282" cm="1">
        <f t="array" ref="P282">_xlfn.XLOOKUP(RawSalesTable5[[#This Row],[Product_Code]],ProductLookupTable[[#All],[Product_Code]],ProductLookupTable[[#All],[Unit_Price]],"NOT FOUND")</f>
        <v>2899</v>
      </c>
      <c r="Q282" t="str">
        <f>IF(COUNTIF(ProductLookupTable[Product_Code],RawSalesTable5[[#This Row],[Product_Code]])=0,"Missing Product","OK")</f>
        <v>OK</v>
      </c>
      <c r="R282" cm="1">
        <f t="array" ref="R282">_xlfn.XLOOKUP(RawSalesTable5[[#This Row],[Product_Code]],ProductLookupTable[[#All],[Product_Code]],ProductLookupTable[[#All],[Unit_Cost]],"NOT FOUND")</f>
        <v>1700</v>
      </c>
      <c r="S282">
        <f>IFERROR(RawSalesTable5[[#This Row],[Quantity]]*RawSalesTable5[[#This Row],[Unit_Price]],"NOT FOUND")</f>
        <v>14495</v>
      </c>
      <c r="T282">
        <f>IFERROR(RawSalesTable5[[#This Row],[Gross_Revenue]]*RawSalesTable5[[#This Row],[Discount_Pct]],"NOT FOUND")</f>
        <v>0</v>
      </c>
      <c r="U282">
        <f>IFERROR(RawSalesTable5[[#This Row],[Gross_Revenue]]-RawSalesTable5[[#This Row],[Discount_Value]],"NOT FOUND")</f>
        <v>14495</v>
      </c>
      <c r="V282">
        <f>IFERROR(RawSalesTable5[[#This Row],[Quantity]]*RawSalesTable5[[#This Row],[Unit_Cost]],"NOT FOUND")</f>
        <v>8500</v>
      </c>
      <c r="W282">
        <f>IFERROR(RawSalesTable5[[#This Row],[Net_Revenue]]-RawSalesTable5[[#This Row],[Cost]],"NOT FOUND")</f>
        <v>5995</v>
      </c>
      <c r="X282" s="27">
        <f>IF(RawSalesTable5[[#This Row],[Lookup_Status]]="Missing Product","",IFERROR(RawSalesTable5[[#This Row],[Profit]]/RawSalesTable5[[#This Row],[Net_Revenue]],0))</f>
        <v>0.41359089341152122</v>
      </c>
      <c r="Y282">
        <f>RawSalesTable5[[#This Row],[Ship_Date]]-RawSalesTable5[[#This Row],[Order_Date]]</f>
        <v>4</v>
      </c>
      <c r="Z282" s="28">
        <f>DATE(YEAR(RawSalesTable5[[#This Row],[Order_Date]]),MONTH(RawSalesTable5[[#This Row],[Order_Date]]),1)</f>
        <v>45778</v>
      </c>
      <c r="AA282" t="str" cm="1">
        <f t="array" ref="AA282">IF(RawSalesTable5[[#This Row],[Lookup_Status]]="Missing Product","",_xlfn.IFS(RawSalesTable5[[#This Row],[Net_Revenue]]&gt;=20000,"High",RawSalesTable5[[#This Row],[Net_Revenue]]&gt;=10000,"Medium",TRUE,"Low"))</f>
        <v>Medium</v>
      </c>
    </row>
    <row r="283" spans="1:27">
      <c r="A283" t="s">
        <v>415</v>
      </c>
      <c r="B283" s="15">
        <v>45762</v>
      </c>
      <c r="C283" s="15">
        <v>45769</v>
      </c>
      <c r="D283" t="s">
        <v>114</v>
      </c>
      <c r="E283" t="s">
        <v>111</v>
      </c>
      <c r="F283" t="s">
        <v>115</v>
      </c>
      <c r="G283" t="s">
        <v>94</v>
      </c>
      <c r="H283" t="s">
        <v>103</v>
      </c>
      <c r="I283" s="17">
        <v>1</v>
      </c>
      <c r="J283" s="16">
        <v>0.1</v>
      </c>
      <c r="K283" t="s">
        <v>88</v>
      </c>
      <c r="L283" t="s">
        <v>126</v>
      </c>
      <c r="M283" s="17">
        <v>2</v>
      </c>
      <c r="N283" t="str" cm="1">
        <f t="array" ref="N283">_xlfn.XLOOKUP(RawSalesTable5[[#This Row],[Product_Code]],ProductLookupTable[[#All],[Product_Code]],ProductLookupTable[[#All],[Product_Name]],"NOT FOUND")</f>
        <v>USB-C Hub</v>
      </c>
      <c r="O283" t="str" cm="1">
        <f t="array" ref="O283">_xlfn.XLOOKUP(RawSalesTable5[[#This Row],[Product_Code]],ProductLookupTable[[#All],[Product_Code]],ProductLookupTable[[#All],[Category]],"NOT FOUND")</f>
        <v>Accessories</v>
      </c>
      <c r="P283" cm="1">
        <f t="array" ref="P283">_xlfn.XLOOKUP(RawSalesTable5[[#This Row],[Product_Code]],ProductLookupTable[[#All],[Product_Code]],ProductLookupTable[[#All],[Unit_Price]],"NOT FOUND")</f>
        <v>1599</v>
      </c>
      <c r="Q283" t="str">
        <f>IF(COUNTIF(ProductLookupTable[Product_Code],RawSalesTable5[[#This Row],[Product_Code]])=0,"Missing Product","OK")</f>
        <v>OK</v>
      </c>
      <c r="R283" cm="1">
        <f t="array" ref="R283">_xlfn.XLOOKUP(RawSalesTable5[[#This Row],[Product_Code]],ProductLookupTable[[#All],[Product_Code]],ProductLookupTable[[#All],[Unit_Cost]],"NOT FOUND")</f>
        <v>870</v>
      </c>
      <c r="S283">
        <f>IFERROR(RawSalesTable5[[#This Row],[Quantity]]*RawSalesTable5[[#This Row],[Unit_Price]],"NOT FOUND")</f>
        <v>1599</v>
      </c>
      <c r="T283">
        <f>IFERROR(RawSalesTable5[[#This Row],[Gross_Revenue]]*RawSalesTable5[[#This Row],[Discount_Pct]],"NOT FOUND")</f>
        <v>159.9</v>
      </c>
      <c r="U283">
        <f>IFERROR(RawSalesTable5[[#This Row],[Gross_Revenue]]-RawSalesTable5[[#This Row],[Discount_Value]],"NOT FOUND")</f>
        <v>1439.1</v>
      </c>
      <c r="V283">
        <f>IFERROR(RawSalesTable5[[#This Row],[Quantity]]*RawSalesTable5[[#This Row],[Unit_Cost]],"NOT FOUND")</f>
        <v>870</v>
      </c>
      <c r="W283">
        <f>IFERROR(RawSalesTable5[[#This Row],[Net_Revenue]]-RawSalesTable5[[#This Row],[Cost]],"NOT FOUND")</f>
        <v>569.09999999999991</v>
      </c>
      <c r="X283" s="27">
        <f>IF(RawSalesTable5[[#This Row],[Lookup_Status]]="Missing Product","",IFERROR(RawSalesTable5[[#This Row],[Profit]]/RawSalesTable5[[#This Row],[Net_Revenue]],0))</f>
        <v>0.3954554930164686</v>
      </c>
      <c r="Y283">
        <f>RawSalesTable5[[#This Row],[Ship_Date]]-RawSalesTable5[[#This Row],[Order_Date]]</f>
        <v>7</v>
      </c>
      <c r="Z283" s="28">
        <f>DATE(YEAR(RawSalesTable5[[#This Row],[Order_Date]]),MONTH(RawSalesTable5[[#This Row],[Order_Date]]),1)</f>
        <v>45748</v>
      </c>
      <c r="AA283" t="str" cm="1">
        <f t="array" ref="AA283">IF(RawSalesTable5[[#This Row],[Lookup_Status]]="Missing Product","",_xlfn.IFS(RawSalesTable5[[#This Row],[Net_Revenue]]&gt;=20000,"High",RawSalesTable5[[#This Row],[Net_Revenue]]&gt;=10000,"Medium",TRUE,"Low"))</f>
        <v>Low</v>
      </c>
    </row>
    <row r="284" spans="1:27">
      <c r="A284" t="s">
        <v>416</v>
      </c>
      <c r="B284" s="15">
        <v>45774</v>
      </c>
      <c r="C284" s="15">
        <v>45777</v>
      </c>
      <c r="D284" t="s">
        <v>157</v>
      </c>
      <c r="E284" t="s">
        <v>84</v>
      </c>
      <c r="F284" t="s">
        <v>107</v>
      </c>
      <c r="G284" t="s">
        <v>125</v>
      </c>
      <c r="H284" t="s">
        <v>86</v>
      </c>
      <c r="I284" s="17">
        <v>3</v>
      </c>
      <c r="J284" s="16">
        <v>0.05</v>
      </c>
      <c r="K284" t="s">
        <v>88</v>
      </c>
      <c r="L284" t="s">
        <v>89</v>
      </c>
      <c r="M284" s="17">
        <v>5</v>
      </c>
      <c r="N284" t="str" cm="1">
        <f t="array" ref="N284">_xlfn.XLOOKUP(RawSalesTable5[[#This Row],[Product_Code]],ProductLookupTable[[#All],[Product_Code]],ProductLookupTable[[#All],[Product_Name]],"NOT FOUND")</f>
        <v>Bluetooth Speaker</v>
      </c>
      <c r="O284" t="str" cm="1">
        <f t="array" ref="O284">_xlfn.XLOOKUP(RawSalesTable5[[#This Row],[Product_Code]],ProductLookupTable[[#All],[Product_Code]],ProductLookupTable[[#All],[Category]],"NOT FOUND")</f>
        <v>Audio</v>
      </c>
      <c r="P284" cm="1">
        <f t="array" ref="P284">_xlfn.XLOOKUP(RawSalesTable5[[#This Row],[Product_Code]],ProductLookupTable[[#All],[Product_Code]],ProductLookupTable[[#All],[Unit_Price]],"NOT FOUND")</f>
        <v>2799</v>
      </c>
      <c r="Q284" t="str">
        <f>IF(COUNTIF(ProductLookupTable[Product_Code],RawSalesTable5[[#This Row],[Product_Code]])=0,"Missing Product","OK")</f>
        <v>OK</v>
      </c>
      <c r="R284" cm="1">
        <f t="array" ref="R284">_xlfn.XLOOKUP(RawSalesTable5[[#This Row],[Product_Code]],ProductLookupTable[[#All],[Product_Code]],ProductLookupTable[[#All],[Unit_Cost]],"NOT FOUND")</f>
        <v>1650</v>
      </c>
      <c r="S284">
        <f>IFERROR(RawSalesTable5[[#This Row],[Quantity]]*RawSalesTable5[[#This Row],[Unit_Price]],"NOT FOUND")</f>
        <v>8397</v>
      </c>
      <c r="T284">
        <f>IFERROR(RawSalesTable5[[#This Row],[Gross_Revenue]]*RawSalesTable5[[#This Row],[Discount_Pct]],"NOT FOUND")</f>
        <v>419.85</v>
      </c>
      <c r="U284">
        <f>IFERROR(RawSalesTable5[[#This Row],[Gross_Revenue]]-RawSalesTable5[[#This Row],[Discount_Value]],"NOT FOUND")</f>
        <v>7977.15</v>
      </c>
      <c r="V284">
        <f>IFERROR(RawSalesTable5[[#This Row],[Quantity]]*RawSalesTable5[[#This Row],[Unit_Cost]],"NOT FOUND")</f>
        <v>4950</v>
      </c>
      <c r="W284">
        <f>IFERROR(RawSalesTable5[[#This Row],[Net_Revenue]]-RawSalesTable5[[#This Row],[Cost]],"NOT FOUND")</f>
        <v>3027.1499999999996</v>
      </c>
      <c r="X284" s="27">
        <f>IF(RawSalesTable5[[#This Row],[Lookup_Status]]="Missing Product","",IFERROR(RawSalesTable5[[#This Row],[Profit]]/RawSalesTable5[[#This Row],[Net_Revenue]],0))</f>
        <v>0.37947763298922543</v>
      </c>
      <c r="Y284">
        <f>RawSalesTable5[[#This Row],[Ship_Date]]-RawSalesTable5[[#This Row],[Order_Date]]</f>
        <v>3</v>
      </c>
      <c r="Z284" s="28">
        <f>DATE(YEAR(RawSalesTable5[[#This Row],[Order_Date]]),MONTH(RawSalesTable5[[#This Row],[Order_Date]]),1)</f>
        <v>45748</v>
      </c>
      <c r="AA284" t="str" cm="1">
        <f t="array" ref="AA284">IF(RawSalesTable5[[#This Row],[Lookup_Status]]="Missing Product","",_xlfn.IFS(RawSalesTable5[[#This Row],[Net_Revenue]]&gt;=20000,"High",RawSalesTable5[[#This Row],[Net_Revenue]]&gt;=10000,"Medium",TRUE,"Low"))</f>
        <v>Low</v>
      </c>
    </row>
    <row r="285" spans="1:27">
      <c r="A285" t="s">
        <v>417</v>
      </c>
      <c r="B285" s="15">
        <v>45955</v>
      </c>
      <c r="C285" s="15">
        <v>45960</v>
      </c>
      <c r="D285" t="s">
        <v>212</v>
      </c>
      <c r="E285" t="s">
        <v>92</v>
      </c>
      <c r="F285" t="s">
        <v>190</v>
      </c>
      <c r="G285" t="s">
        <v>94</v>
      </c>
      <c r="H285" t="s">
        <v>86</v>
      </c>
      <c r="I285" s="17">
        <v>2</v>
      </c>
      <c r="J285" s="16">
        <v>0.2</v>
      </c>
      <c r="K285" t="s">
        <v>88</v>
      </c>
      <c r="L285" t="s">
        <v>89</v>
      </c>
      <c r="M285" s="17">
        <v>5</v>
      </c>
      <c r="N285" t="str" cm="1">
        <f t="array" ref="N285">_xlfn.XLOOKUP(RawSalesTable5[[#This Row],[Product_Code]],ProductLookupTable[[#All],[Product_Code]],ProductLookupTable[[#All],[Product_Name]],"NOT FOUND")</f>
        <v>NOT FOUND</v>
      </c>
      <c r="O285" t="str" cm="1">
        <f t="array" ref="O285">_xlfn.XLOOKUP(RawSalesTable5[[#This Row],[Product_Code]],ProductLookupTable[[#All],[Product_Code]],ProductLookupTable[[#All],[Category]],"NOT FOUND")</f>
        <v>NOT FOUND</v>
      </c>
      <c r="P285" t="str" cm="1">
        <f t="array" ref="P285">_xlfn.XLOOKUP(RawSalesTable5[[#This Row],[Product_Code]],ProductLookupTable[[#All],[Product_Code]],ProductLookupTable[[#All],[Unit_Price]],"NOT FOUND")</f>
        <v>NOT FOUND</v>
      </c>
      <c r="Q285" t="str">
        <f>IF(COUNTIF(ProductLookupTable[Product_Code],RawSalesTable5[[#This Row],[Product_Code]])=0,"Missing Product","OK")</f>
        <v>Missing Product</v>
      </c>
      <c r="R285" t="str" cm="1">
        <f t="array" ref="R285">_xlfn.XLOOKUP(RawSalesTable5[[#This Row],[Product_Code]],ProductLookupTable[[#All],[Product_Code]],ProductLookupTable[[#All],[Unit_Cost]],"NOT FOUND")</f>
        <v>NOT FOUND</v>
      </c>
      <c r="S285" t="str">
        <f>IFERROR(RawSalesTable5[[#This Row],[Quantity]]*RawSalesTable5[[#This Row],[Unit_Price]],"NOT FOUND")</f>
        <v>NOT FOUND</v>
      </c>
      <c r="T285" t="str">
        <f>IFERROR(RawSalesTable5[[#This Row],[Gross_Revenue]]*RawSalesTable5[[#This Row],[Discount_Pct]],"NOT FOUND")</f>
        <v>NOT FOUND</v>
      </c>
      <c r="U285" t="str">
        <f>IFERROR(RawSalesTable5[[#This Row],[Gross_Revenue]]-RawSalesTable5[[#This Row],[Discount_Value]],"NOT FOUND")</f>
        <v>NOT FOUND</v>
      </c>
      <c r="V285" t="str">
        <f>IFERROR(RawSalesTable5[[#This Row],[Quantity]]*RawSalesTable5[[#This Row],[Unit_Cost]],"NOT FOUND")</f>
        <v>NOT FOUND</v>
      </c>
      <c r="W285" t="str">
        <f>IFERROR(RawSalesTable5[[#This Row],[Net_Revenue]]-RawSalesTable5[[#This Row],[Cost]],"NOT FOUND")</f>
        <v>NOT FOUND</v>
      </c>
      <c r="X285" s="27" t="str">
        <f>IF(RawSalesTable5[[#This Row],[Lookup_Status]]="Missing Product","",IFERROR(RawSalesTable5[[#This Row],[Profit]]/RawSalesTable5[[#This Row],[Net_Revenue]],0))</f>
        <v/>
      </c>
      <c r="Y285">
        <f>RawSalesTable5[[#This Row],[Ship_Date]]-RawSalesTable5[[#This Row],[Order_Date]]</f>
        <v>5</v>
      </c>
      <c r="Z285" s="28">
        <f>DATE(YEAR(RawSalesTable5[[#This Row],[Order_Date]]),MONTH(RawSalesTable5[[#This Row],[Order_Date]]),1)</f>
        <v>45931</v>
      </c>
      <c r="AA285" t="str" cm="1">
        <f t="array" ref="AA285">IF(RawSalesTable5[[#This Row],[Lookup_Status]]="Missing Product","",_xlfn.IFS(RawSalesTable5[[#This Row],[Net_Revenue]]&gt;=20000,"High",RawSalesTable5[[#This Row],[Net_Revenue]]&gt;=10000,"Medium",TRUE,"Low"))</f>
        <v/>
      </c>
    </row>
    <row r="286" spans="1:27">
      <c r="A286" t="s">
        <v>418</v>
      </c>
      <c r="B286" s="15">
        <v>45843</v>
      </c>
      <c r="C286" s="15">
        <v>45848</v>
      </c>
      <c r="D286" t="s">
        <v>123</v>
      </c>
      <c r="E286" t="s">
        <v>98</v>
      </c>
      <c r="F286" t="s">
        <v>138</v>
      </c>
      <c r="G286" t="s">
        <v>86</v>
      </c>
      <c r="H286" t="s">
        <v>103</v>
      </c>
      <c r="I286" s="17">
        <v>4</v>
      </c>
      <c r="J286" s="16">
        <v>0.2</v>
      </c>
      <c r="K286" t="s">
        <v>112</v>
      </c>
      <c r="L286" t="s">
        <v>89</v>
      </c>
      <c r="M286" s="17">
        <v>5</v>
      </c>
      <c r="N286" t="str" cm="1">
        <f t="array" ref="N286">_xlfn.XLOOKUP(RawSalesTable5[[#This Row],[Product_Code]],ProductLookupTable[[#All],[Product_Code]],ProductLookupTable[[#All],[Product_Name]],"NOT FOUND")</f>
        <v>24-inch Monitor</v>
      </c>
      <c r="O286" t="str" cm="1">
        <f t="array" ref="O286">_xlfn.XLOOKUP(RawSalesTable5[[#This Row],[Product_Code]],ProductLookupTable[[#All],[Product_Code]],ProductLookupTable[[#All],[Category]],"NOT FOUND")</f>
        <v>Displays</v>
      </c>
      <c r="P286" cm="1">
        <f t="array" ref="P286">_xlfn.XLOOKUP(RawSalesTable5[[#This Row],[Product_Code]],ProductLookupTable[[#All],[Product_Code]],ProductLookupTable[[#All],[Unit_Price]],"NOT FOUND")</f>
        <v>12999</v>
      </c>
      <c r="Q286" t="str">
        <f>IF(COUNTIF(ProductLookupTable[Product_Code],RawSalesTable5[[#This Row],[Product_Code]])=0,"Missing Product","OK")</f>
        <v>OK</v>
      </c>
      <c r="R286" cm="1">
        <f t="array" ref="R286">_xlfn.XLOOKUP(RawSalesTable5[[#This Row],[Product_Code]],ProductLookupTable[[#All],[Product_Code]],ProductLookupTable[[#All],[Unit_Cost]],"NOT FOUND")</f>
        <v>9100</v>
      </c>
      <c r="S286">
        <f>IFERROR(RawSalesTable5[[#This Row],[Quantity]]*RawSalesTable5[[#This Row],[Unit_Price]],"NOT FOUND")</f>
        <v>51996</v>
      </c>
      <c r="T286">
        <f>IFERROR(RawSalesTable5[[#This Row],[Gross_Revenue]]*RawSalesTable5[[#This Row],[Discount_Pct]],"NOT FOUND")</f>
        <v>10399.200000000001</v>
      </c>
      <c r="U286">
        <f>IFERROR(RawSalesTable5[[#This Row],[Gross_Revenue]]-RawSalesTable5[[#This Row],[Discount_Value]],"NOT FOUND")</f>
        <v>41596.800000000003</v>
      </c>
      <c r="V286">
        <f>IFERROR(RawSalesTable5[[#This Row],[Quantity]]*RawSalesTable5[[#This Row],[Unit_Cost]],"NOT FOUND")</f>
        <v>36400</v>
      </c>
      <c r="W286">
        <f>IFERROR(RawSalesTable5[[#This Row],[Net_Revenue]]-RawSalesTable5[[#This Row],[Cost]],"NOT FOUND")</f>
        <v>5196.8000000000029</v>
      </c>
      <c r="X286" s="27">
        <f>IF(RawSalesTable5[[#This Row],[Lookup_Status]]="Missing Product","",IFERROR(RawSalesTable5[[#This Row],[Profit]]/RawSalesTable5[[#This Row],[Net_Revenue]],0))</f>
        <v>0.12493268712977927</v>
      </c>
      <c r="Y286">
        <f>RawSalesTable5[[#This Row],[Ship_Date]]-RawSalesTable5[[#This Row],[Order_Date]]</f>
        <v>5</v>
      </c>
      <c r="Z286" s="28">
        <f>DATE(YEAR(RawSalesTable5[[#This Row],[Order_Date]]),MONTH(RawSalesTable5[[#This Row],[Order_Date]]),1)</f>
        <v>45839</v>
      </c>
      <c r="AA286" t="str" cm="1">
        <f t="array" ref="AA286">IF(RawSalesTable5[[#This Row],[Lookup_Status]]="Missing Product","",_xlfn.IFS(RawSalesTable5[[#This Row],[Net_Revenue]]&gt;=20000,"High",RawSalesTable5[[#This Row],[Net_Revenue]]&gt;=10000,"Medium",TRUE,"Low"))</f>
        <v>High</v>
      </c>
    </row>
    <row r="287" spans="1:27">
      <c r="A287" t="s">
        <v>419</v>
      </c>
      <c r="B287" s="15">
        <v>45975</v>
      </c>
      <c r="C287" s="15">
        <v>45978</v>
      </c>
      <c r="D287" t="s">
        <v>83</v>
      </c>
      <c r="E287" t="s">
        <v>101</v>
      </c>
      <c r="F287" t="s">
        <v>107</v>
      </c>
      <c r="G287" t="s">
        <v>108</v>
      </c>
      <c r="H287" t="s">
        <v>87</v>
      </c>
      <c r="I287" s="17">
        <v>5</v>
      </c>
      <c r="J287" s="16">
        <v>0.05</v>
      </c>
      <c r="K287" t="s">
        <v>112</v>
      </c>
      <c r="L287" t="s">
        <v>89</v>
      </c>
      <c r="M287" s="17">
        <v>3</v>
      </c>
      <c r="N287" t="str" cm="1">
        <f t="array" ref="N287">_xlfn.XLOOKUP(RawSalesTable5[[#This Row],[Product_Code]],ProductLookupTable[[#All],[Product_Code]],ProductLookupTable[[#All],[Product_Name]],"NOT FOUND")</f>
        <v>Bluetooth Speaker</v>
      </c>
      <c r="O287" t="str" cm="1">
        <f t="array" ref="O287">_xlfn.XLOOKUP(RawSalesTable5[[#This Row],[Product_Code]],ProductLookupTable[[#All],[Product_Code]],ProductLookupTable[[#All],[Category]],"NOT FOUND")</f>
        <v>Audio</v>
      </c>
      <c r="P287" cm="1">
        <f t="array" ref="P287">_xlfn.XLOOKUP(RawSalesTable5[[#This Row],[Product_Code]],ProductLookupTable[[#All],[Product_Code]],ProductLookupTable[[#All],[Unit_Price]],"NOT FOUND")</f>
        <v>2799</v>
      </c>
      <c r="Q287" t="str">
        <f>IF(COUNTIF(ProductLookupTable[Product_Code],RawSalesTable5[[#This Row],[Product_Code]])=0,"Missing Product","OK")</f>
        <v>OK</v>
      </c>
      <c r="R287" cm="1">
        <f t="array" ref="R287">_xlfn.XLOOKUP(RawSalesTable5[[#This Row],[Product_Code]],ProductLookupTable[[#All],[Product_Code]],ProductLookupTable[[#All],[Unit_Cost]],"NOT FOUND")</f>
        <v>1650</v>
      </c>
      <c r="S287">
        <f>IFERROR(RawSalesTable5[[#This Row],[Quantity]]*RawSalesTable5[[#This Row],[Unit_Price]],"NOT FOUND")</f>
        <v>13995</v>
      </c>
      <c r="T287">
        <f>IFERROR(RawSalesTable5[[#This Row],[Gross_Revenue]]*RawSalesTable5[[#This Row],[Discount_Pct]],"NOT FOUND")</f>
        <v>699.75</v>
      </c>
      <c r="U287">
        <f>IFERROR(RawSalesTable5[[#This Row],[Gross_Revenue]]-RawSalesTable5[[#This Row],[Discount_Value]],"NOT FOUND")</f>
        <v>13295.25</v>
      </c>
      <c r="V287">
        <f>IFERROR(RawSalesTable5[[#This Row],[Quantity]]*RawSalesTable5[[#This Row],[Unit_Cost]],"NOT FOUND")</f>
        <v>8250</v>
      </c>
      <c r="W287">
        <f>IFERROR(RawSalesTable5[[#This Row],[Net_Revenue]]-RawSalesTable5[[#This Row],[Cost]],"NOT FOUND")</f>
        <v>5045.25</v>
      </c>
      <c r="X287" s="27">
        <f>IF(RawSalesTable5[[#This Row],[Lookup_Status]]="Missing Product","",IFERROR(RawSalesTable5[[#This Row],[Profit]]/RawSalesTable5[[#This Row],[Net_Revenue]],0))</f>
        <v>0.37947763298922549</v>
      </c>
      <c r="Y287">
        <f>RawSalesTable5[[#This Row],[Ship_Date]]-RawSalesTable5[[#This Row],[Order_Date]]</f>
        <v>3</v>
      </c>
      <c r="Z287" s="28">
        <f>DATE(YEAR(RawSalesTable5[[#This Row],[Order_Date]]),MONTH(RawSalesTable5[[#This Row],[Order_Date]]),1)</f>
        <v>45962</v>
      </c>
      <c r="AA287" t="str" cm="1">
        <f t="array" ref="AA287">IF(RawSalesTable5[[#This Row],[Lookup_Status]]="Missing Product","",_xlfn.IFS(RawSalesTable5[[#This Row],[Net_Revenue]]&gt;=20000,"High",RawSalesTable5[[#This Row],[Net_Revenue]]&gt;=10000,"Medium",TRUE,"Low"))</f>
        <v>Medium</v>
      </c>
    </row>
    <row r="288" spans="1:27">
      <c r="A288" t="s">
        <v>420</v>
      </c>
      <c r="B288" s="15">
        <v>45807</v>
      </c>
      <c r="C288" s="15">
        <v>45809</v>
      </c>
      <c r="D288" t="s">
        <v>114</v>
      </c>
      <c r="E288" t="s">
        <v>106</v>
      </c>
      <c r="F288" t="s">
        <v>115</v>
      </c>
      <c r="G288" t="s">
        <v>86</v>
      </c>
      <c r="H288" t="s">
        <v>86</v>
      </c>
      <c r="I288" s="17">
        <v>4</v>
      </c>
      <c r="J288" s="16">
        <v>0</v>
      </c>
      <c r="K288" t="s">
        <v>140</v>
      </c>
      <c r="L288" t="s">
        <v>126</v>
      </c>
      <c r="M288" s="17">
        <v>2</v>
      </c>
      <c r="N288" t="str" cm="1">
        <f t="array" ref="N288">_xlfn.XLOOKUP(RawSalesTable5[[#This Row],[Product_Code]],ProductLookupTable[[#All],[Product_Code]],ProductLookupTable[[#All],[Product_Name]],"NOT FOUND")</f>
        <v>USB-C Hub</v>
      </c>
      <c r="O288" t="str" cm="1">
        <f t="array" ref="O288">_xlfn.XLOOKUP(RawSalesTable5[[#This Row],[Product_Code]],ProductLookupTable[[#All],[Product_Code]],ProductLookupTable[[#All],[Category]],"NOT FOUND")</f>
        <v>Accessories</v>
      </c>
      <c r="P288" cm="1">
        <f t="array" ref="P288">_xlfn.XLOOKUP(RawSalesTable5[[#This Row],[Product_Code]],ProductLookupTable[[#All],[Product_Code]],ProductLookupTable[[#All],[Unit_Price]],"NOT FOUND")</f>
        <v>1599</v>
      </c>
      <c r="Q288" t="str">
        <f>IF(COUNTIF(ProductLookupTable[Product_Code],RawSalesTable5[[#This Row],[Product_Code]])=0,"Missing Product","OK")</f>
        <v>OK</v>
      </c>
      <c r="R288" cm="1">
        <f t="array" ref="R288">_xlfn.XLOOKUP(RawSalesTable5[[#This Row],[Product_Code]],ProductLookupTable[[#All],[Product_Code]],ProductLookupTable[[#All],[Unit_Cost]],"NOT FOUND")</f>
        <v>870</v>
      </c>
      <c r="S288">
        <f>IFERROR(RawSalesTable5[[#This Row],[Quantity]]*RawSalesTable5[[#This Row],[Unit_Price]],"NOT FOUND")</f>
        <v>6396</v>
      </c>
      <c r="T288">
        <f>IFERROR(RawSalesTable5[[#This Row],[Gross_Revenue]]*RawSalesTable5[[#This Row],[Discount_Pct]],"NOT FOUND")</f>
        <v>0</v>
      </c>
      <c r="U288">
        <f>IFERROR(RawSalesTable5[[#This Row],[Gross_Revenue]]-RawSalesTable5[[#This Row],[Discount_Value]],"NOT FOUND")</f>
        <v>6396</v>
      </c>
      <c r="V288">
        <f>IFERROR(RawSalesTable5[[#This Row],[Quantity]]*RawSalesTable5[[#This Row],[Unit_Cost]],"NOT FOUND")</f>
        <v>3480</v>
      </c>
      <c r="W288">
        <f>IFERROR(RawSalesTable5[[#This Row],[Net_Revenue]]-RawSalesTable5[[#This Row],[Cost]],"NOT FOUND")</f>
        <v>2916</v>
      </c>
      <c r="X288" s="27">
        <f>IF(RawSalesTable5[[#This Row],[Lookup_Status]]="Missing Product","",IFERROR(RawSalesTable5[[#This Row],[Profit]]/RawSalesTable5[[#This Row],[Net_Revenue]],0))</f>
        <v>0.45590994371482174</v>
      </c>
      <c r="Y288">
        <f>RawSalesTable5[[#This Row],[Ship_Date]]-RawSalesTable5[[#This Row],[Order_Date]]</f>
        <v>2</v>
      </c>
      <c r="Z288" s="28">
        <f>DATE(YEAR(RawSalesTable5[[#This Row],[Order_Date]]),MONTH(RawSalesTable5[[#This Row],[Order_Date]]),1)</f>
        <v>45778</v>
      </c>
      <c r="AA288" t="str" cm="1">
        <f t="array" ref="AA288">IF(RawSalesTable5[[#This Row],[Lookup_Status]]="Missing Product","",_xlfn.IFS(RawSalesTable5[[#This Row],[Net_Revenue]]&gt;=20000,"High",RawSalesTable5[[#This Row],[Net_Revenue]]&gt;=10000,"Medium",TRUE,"Low"))</f>
        <v>Low</v>
      </c>
    </row>
    <row r="289" spans="1:27">
      <c r="A289" t="s">
        <v>421</v>
      </c>
      <c r="B289" s="15">
        <v>45661</v>
      </c>
      <c r="C289" s="15">
        <v>45662</v>
      </c>
      <c r="D289" t="s">
        <v>157</v>
      </c>
      <c r="E289" t="s">
        <v>111</v>
      </c>
      <c r="F289" t="s">
        <v>149</v>
      </c>
      <c r="G289" t="s">
        <v>108</v>
      </c>
      <c r="H289" t="s">
        <v>103</v>
      </c>
      <c r="I289" s="17">
        <v>3</v>
      </c>
      <c r="J289" s="16">
        <v>0.2</v>
      </c>
      <c r="K289" t="s">
        <v>119</v>
      </c>
      <c r="L289" t="s">
        <v>89</v>
      </c>
      <c r="M289" s="17">
        <v>4</v>
      </c>
      <c r="N289" t="str" cm="1">
        <f t="array" ref="N289">_xlfn.XLOOKUP(RawSalesTable5[[#This Row],[Product_Code]],ProductLookupTable[[#All],[Product_Code]],ProductLookupTable[[#All],[Product_Name]],"NOT FOUND")</f>
        <v>Portable HDD 2TB</v>
      </c>
      <c r="O289" t="str" cm="1">
        <f t="array" ref="O289">_xlfn.XLOOKUP(RawSalesTable5[[#This Row],[Product_Code]],ProductLookupTable[[#All],[Product_Code]],ProductLookupTable[[#All],[Category]],"NOT FOUND")</f>
        <v>Storage</v>
      </c>
      <c r="P289" cm="1">
        <f t="array" ref="P289">_xlfn.XLOOKUP(RawSalesTable5[[#This Row],[Product_Code]],ProductLookupTable[[#All],[Product_Code]],ProductLookupTable[[#All],[Unit_Price]],"NOT FOUND")</f>
        <v>5899</v>
      </c>
      <c r="Q289" t="str">
        <f>IF(COUNTIF(ProductLookupTable[Product_Code],RawSalesTable5[[#This Row],[Product_Code]])=0,"Missing Product","OK")</f>
        <v>OK</v>
      </c>
      <c r="R289" cm="1">
        <f t="array" ref="R289">_xlfn.XLOOKUP(RawSalesTable5[[#This Row],[Product_Code]],ProductLookupTable[[#All],[Product_Code]],ProductLookupTable[[#All],[Unit_Cost]],"NOT FOUND")</f>
        <v>4100</v>
      </c>
      <c r="S289">
        <f>IFERROR(RawSalesTable5[[#This Row],[Quantity]]*RawSalesTable5[[#This Row],[Unit_Price]],"NOT FOUND")</f>
        <v>17697</v>
      </c>
      <c r="T289">
        <f>IFERROR(RawSalesTable5[[#This Row],[Gross_Revenue]]*RawSalesTable5[[#This Row],[Discount_Pct]],"NOT FOUND")</f>
        <v>3539.4</v>
      </c>
      <c r="U289">
        <f>IFERROR(RawSalesTable5[[#This Row],[Gross_Revenue]]-RawSalesTable5[[#This Row],[Discount_Value]],"NOT FOUND")</f>
        <v>14157.6</v>
      </c>
      <c r="V289">
        <f>IFERROR(RawSalesTable5[[#This Row],[Quantity]]*RawSalesTable5[[#This Row],[Unit_Cost]],"NOT FOUND")</f>
        <v>12300</v>
      </c>
      <c r="W289">
        <f>IFERROR(RawSalesTable5[[#This Row],[Net_Revenue]]-RawSalesTable5[[#This Row],[Cost]],"NOT FOUND")</f>
        <v>1857.6000000000004</v>
      </c>
      <c r="X289" s="27">
        <f>IF(RawSalesTable5[[#This Row],[Lookup_Status]]="Missing Product","",IFERROR(RawSalesTable5[[#This Row],[Profit]]/RawSalesTable5[[#This Row],[Net_Revenue]],0))</f>
        <v>0.13120867943719278</v>
      </c>
      <c r="Y289">
        <f>RawSalesTable5[[#This Row],[Ship_Date]]-RawSalesTable5[[#This Row],[Order_Date]]</f>
        <v>1</v>
      </c>
      <c r="Z289" s="28">
        <f>DATE(YEAR(RawSalesTable5[[#This Row],[Order_Date]]),MONTH(RawSalesTable5[[#This Row],[Order_Date]]),1)</f>
        <v>45658</v>
      </c>
      <c r="AA289" t="str" cm="1">
        <f t="array" ref="AA289">IF(RawSalesTable5[[#This Row],[Lookup_Status]]="Missing Product","",_xlfn.IFS(RawSalesTable5[[#This Row],[Net_Revenue]]&gt;=20000,"High",RawSalesTable5[[#This Row],[Net_Revenue]]&gt;=10000,"Medium",TRUE,"Low"))</f>
        <v>Medium</v>
      </c>
    </row>
    <row r="290" spans="1:27">
      <c r="A290" t="s">
        <v>422</v>
      </c>
      <c r="B290" s="15">
        <v>45754</v>
      </c>
      <c r="C290" s="15">
        <v>45755</v>
      </c>
      <c r="D290" t="s">
        <v>212</v>
      </c>
      <c r="E290" t="s">
        <v>84</v>
      </c>
      <c r="F290" t="s">
        <v>85</v>
      </c>
      <c r="G290" t="s">
        <v>125</v>
      </c>
      <c r="H290" t="s">
        <v>103</v>
      </c>
      <c r="I290" s="17">
        <v>4</v>
      </c>
      <c r="J290" s="16">
        <v>0</v>
      </c>
      <c r="K290" t="s">
        <v>95</v>
      </c>
      <c r="L290" t="s">
        <v>89</v>
      </c>
      <c r="M290" s="17">
        <v>4</v>
      </c>
      <c r="N290" t="str" cm="1">
        <f t="array" ref="N290">_xlfn.XLOOKUP(RawSalesTable5[[#This Row],[Product_Code]],ProductLookupTable[[#All],[Product_Code]],ProductLookupTable[[#All],[Product_Name]],"NOT FOUND")</f>
        <v>Ergonomic Chair</v>
      </c>
      <c r="O290" t="str" cm="1">
        <f t="array" ref="O290">_xlfn.XLOOKUP(RawSalesTable5[[#This Row],[Product_Code]],ProductLookupTable[[#All],[Product_Code]],ProductLookupTable[[#All],[Category]],"NOT FOUND")</f>
        <v>Furniture</v>
      </c>
      <c r="P290" cm="1">
        <f t="array" ref="P290">_xlfn.XLOOKUP(RawSalesTable5[[#This Row],[Product_Code]],ProductLookupTable[[#All],[Product_Code]],ProductLookupTable[[#All],[Unit_Price]],"NOT FOUND")</f>
        <v>10499</v>
      </c>
      <c r="Q290" t="str">
        <f>IF(COUNTIF(ProductLookupTable[Product_Code],RawSalesTable5[[#This Row],[Product_Code]])=0,"Missing Product","OK")</f>
        <v>OK</v>
      </c>
      <c r="R290" cm="1">
        <f t="array" ref="R290">_xlfn.XLOOKUP(RawSalesTable5[[#This Row],[Product_Code]],ProductLookupTable[[#All],[Product_Code]],ProductLookupTable[[#All],[Unit_Cost]],"NOT FOUND")</f>
        <v>7600</v>
      </c>
      <c r="S290">
        <f>IFERROR(RawSalesTable5[[#This Row],[Quantity]]*RawSalesTable5[[#This Row],[Unit_Price]],"NOT FOUND")</f>
        <v>41996</v>
      </c>
      <c r="T290">
        <f>IFERROR(RawSalesTable5[[#This Row],[Gross_Revenue]]*RawSalesTable5[[#This Row],[Discount_Pct]],"NOT FOUND")</f>
        <v>0</v>
      </c>
      <c r="U290">
        <f>IFERROR(RawSalesTable5[[#This Row],[Gross_Revenue]]-RawSalesTable5[[#This Row],[Discount_Value]],"NOT FOUND")</f>
        <v>41996</v>
      </c>
      <c r="V290">
        <f>IFERROR(RawSalesTable5[[#This Row],[Quantity]]*RawSalesTable5[[#This Row],[Unit_Cost]],"NOT FOUND")</f>
        <v>30400</v>
      </c>
      <c r="W290">
        <f>IFERROR(RawSalesTable5[[#This Row],[Net_Revenue]]-RawSalesTable5[[#This Row],[Cost]],"NOT FOUND")</f>
        <v>11596</v>
      </c>
      <c r="X290" s="27">
        <f>IF(RawSalesTable5[[#This Row],[Lookup_Status]]="Missing Product","",IFERROR(RawSalesTable5[[#This Row],[Profit]]/RawSalesTable5[[#This Row],[Net_Revenue]],0))</f>
        <v>0.27612153538432233</v>
      </c>
      <c r="Y290">
        <f>RawSalesTable5[[#This Row],[Ship_Date]]-RawSalesTable5[[#This Row],[Order_Date]]</f>
        <v>1</v>
      </c>
      <c r="Z290" s="28">
        <f>DATE(YEAR(RawSalesTable5[[#This Row],[Order_Date]]),MONTH(RawSalesTable5[[#This Row],[Order_Date]]),1)</f>
        <v>45748</v>
      </c>
      <c r="AA290" t="str" cm="1">
        <f t="array" ref="AA290">IF(RawSalesTable5[[#This Row],[Lookup_Status]]="Missing Product","",_xlfn.IFS(RawSalesTable5[[#This Row],[Net_Revenue]]&gt;=20000,"High",RawSalesTable5[[#This Row],[Net_Revenue]]&gt;=10000,"Medium",TRUE,"Low"))</f>
        <v>High</v>
      </c>
    </row>
    <row r="291" spans="1:27">
      <c r="A291" t="s">
        <v>423</v>
      </c>
      <c r="B291" s="15">
        <v>45740</v>
      </c>
      <c r="C291" s="15">
        <v>45742</v>
      </c>
      <c r="D291" t="s">
        <v>123</v>
      </c>
      <c r="E291" t="s">
        <v>92</v>
      </c>
      <c r="F291" t="s">
        <v>124</v>
      </c>
      <c r="G291" t="s">
        <v>86</v>
      </c>
      <c r="H291" t="s">
        <v>103</v>
      </c>
      <c r="I291" s="17">
        <v>3</v>
      </c>
      <c r="J291" s="16">
        <v>0.05</v>
      </c>
      <c r="K291" t="s">
        <v>119</v>
      </c>
      <c r="L291" t="s">
        <v>89</v>
      </c>
      <c r="M291" s="17">
        <v>5</v>
      </c>
      <c r="N291" t="str" cm="1">
        <f t="array" ref="N291">_xlfn.XLOOKUP(RawSalesTable5[[#This Row],[Product_Code]],ProductLookupTable[[#All],[Product_Code]],ProductLookupTable[[#All],[Product_Name]],"NOT FOUND")</f>
        <v>Wireless Mouse</v>
      </c>
      <c r="O291" t="str" cm="1">
        <f t="array" ref="O291">_xlfn.XLOOKUP(RawSalesTable5[[#This Row],[Product_Code]],ProductLookupTable[[#All],[Product_Code]],ProductLookupTable[[#All],[Category]],"NOT FOUND")</f>
        <v>Accessories</v>
      </c>
      <c r="P291" cm="1">
        <f t="array" ref="P291">_xlfn.XLOOKUP(RawSalesTable5[[#This Row],[Product_Code]],ProductLookupTable[[#All],[Product_Code]],ProductLookupTable[[#All],[Unit_Price]],"NOT FOUND")</f>
        <v>799</v>
      </c>
      <c r="Q291" t="str">
        <f>IF(COUNTIF(ProductLookupTable[Product_Code],RawSalesTable5[[#This Row],[Product_Code]])=0,"Missing Product","OK")</f>
        <v>OK</v>
      </c>
      <c r="R291" cm="1">
        <f t="array" ref="R291">_xlfn.XLOOKUP(RawSalesTable5[[#This Row],[Product_Code]],ProductLookupTable[[#All],[Product_Code]],ProductLookupTable[[#All],[Unit_Cost]],"NOT FOUND")</f>
        <v>420</v>
      </c>
      <c r="S291">
        <f>IFERROR(RawSalesTable5[[#This Row],[Quantity]]*RawSalesTable5[[#This Row],[Unit_Price]],"NOT FOUND")</f>
        <v>2397</v>
      </c>
      <c r="T291">
        <f>IFERROR(RawSalesTable5[[#This Row],[Gross_Revenue]]*RawSalesTable5[[#This Row],[Discount_Pct]],"NOT FOUND")</f>
        <v>119.85000000000001</v>
      </c>
      <c r="U291">
        <f>IFERROR(RawSalesTable5[[#This Row],[Gross_Revenue]]-RawSalesTable5[[#This Row],[Discount_Value]],"NOT FOUND")</f>
        <v>2277.15</v>
      </c>
      <c r="V291">
        <f>IFERROR(RawSalesTable5[[#This Row],[Quantity]]*RawSalesTable5[[#This Row],[Unit_Cost]],"NOT FOUND")</f>
        <v>1260</v>
      </c>
      <c r="W291">
        <f>IFERROR(RawSalesTable5[[#This Row],[Net_Revenue]]-RawSalesTable5[[#This Row],[Cost]],"NOT FOUND")</f>
        <v>1017.1500000000001</v>
      </c>
      <c r="X291" s="27">
        <f>IF(RawSalesTable5[[#This Row],[Lookup_Status]]="Missing Product","",IFERROR(RawSalesTable5[[#This Row],[Profit]]/RawSalesTable5[[#This Row],[Net_Revenue]],0))</f>
        <v>0.44667676701139586</v>
      </c>
      <c r="Y291">
        <f>RawSalesTable5[[#This Row],[Ship_Date]]-RawSalesTable5[[#This Row],[Order_Date]]</f>
        <v>2</v>
      </c>
      <c r="Z291" s="28">
        <f>DATE(YEAR(RawSalesTable5[[#This Row],[Order_Date]]),MONTH(RawSalesTable5[[#This Row],[Order_Date]]),1)</f>
        <v>45717</v>
      </c>
      <c r="AA291" t="str" cm="1">
        <f t="array" ref="AA291">IF(RawSalesTable5[[#This Row],[Lookup_Status]]="Missing Product","",_xlfn.IFS(RawSalesTable5[[#This Row],[Net_Revenue]]&gt;=20000,"High",RawSalesTable5[[#This Row],[Net_Revenue]]&gt;=10000,"Medium",TRUE,"Low"))</f>
        <v>Low</v>
      </c>
    </row>
    <row r="292" spans="1:27">
      <c r="A292" t="s">
        <v>424</v>
      </c>
      <c r="B292" s="15">
        <v>45879</v>
      </c>
      <c r="C292" s="15">
        <v>45882</v>
      </c>
      <c r="D292" t="s">
        <v>83</v>
      </c>
      <c r="E292" t="s">
        <v>98</v>
      </c>
      <c r="F292" t="s">
        <v>138</v>
      </c>
      <c r="G292" t="s">
        <v>86</v>
      </c>
      <c r="H292" t="s">
        <v>103</v>
      </c>
      <c r="I292" s="17">
        <v>2</v>
      </c>
      <c r="J292" s="16">
        <v>0.1</v>
      </c>
      <c r="K292" t="s">
        <v>119</v>
      </c>
      <c r="L292" t="s">
        <v>89</v>
      </c>
      <c r="M292" s="17">
        <v>5</v>
      </c>
      <c r="N292" t="str" cm="1">
        <f t="array" ref="N292">_xlfn.XLOOKUP(RawSalesTable5[[#This Row],[Product_Code]],ProductLookupTable[[#All],[Product_Code]],ProductLookupTable[[#All],[Product_Name]],"NOT FOUND")</f>
        <v>24-inch Monitor</v>
      </c>
      <c r="O292" t="str" cm="1">
        <f t="array" ref="O292">_xlfn.XLOOKUP(RawSalesTable5[[#This Row],[Product_Code]],ProductLookupTable[[#All],[Product_Code]],ProductLookupTable[[#All],[Category]],"NOT FOUND")</f>
        <v>Displays</v>
      </c>
      <c r="P292" cm="1">
        <f t="array" ref="P292">_xlfn.XLOOKUP(RawSalesTable5[[#This Row],[Product_Code]],ProductLookupTable[[#All],[Product_Code]],ProductLookupTable[[#All],[Unit_Price]],"NOT FOUND")</f>
        <v>12999</v>
      </c>
      <c r="Q292" t="str">
        <f>IF(COUNTIF(ProductLookupTable[Product_Code],RawSalesTable5[[#This Row],[Product_Code]])=0,"Missing Product","OK")</f>
        <v>OK</v>
      </c>
      <c r="R292" cm="1">
        <f t="array" ref="R292">_xlfn.XLOOKUP(RawSalesTable5[[#This Row],[Product_Code]],ProductLookupTable[[#All],[Product_Code]],ProductLookupTable[[#All],[Unit_Cost]],"NOT FOUND")</f>
        <v>9100</v>
      </c>
      <c r="S292">
        <f>IFERROR(RawSalesTable5[[#This Row],[Quantity]]*RawSalesTable5[[#This Row],[Unit_Price]],"NOT FOUND")</f>
        <v>25998</v>
      </c>
      <c r="T292">
        <f>IFERROR(RawSalesTable5[[#This Row],[Gross_Revenue]]*RawSalesTable5[[#This Row],[Discount_Pct]],"NOT FOUND")</f>
        <v>2599.8000000000002</v>
      </c>
      <c r="U292">
        <f>IFERROR(RawSalesTable5[[#This Row],[Gross_Revenue]]-RawSalesTable5[[#This Row],[Discount_Value]],"NOT FOUND")</f>
        <v>23398.2</v>
      </c>
      <c r="V292">
        <f>IFERROR(RawSalesTable5[[#This Row],[Quantity]]*RawSalesTable5[[#This Row],[Unit_Cost]],"NOT FOUND")</f>
        <v>18200</v>
      </c>
      <c r="W292">
        <f>IFERROR(RawSalesTable5[[#This Row],[Net_Revenue]]-RawSalesTable5[[#This Row],[Cost]],"NOT FOUND")</f>
        <v>5198.2000000000007</v>
      </c>
      <c r="X292" s="27">
        <f>IF(RawSalesTable5[[#This Row],[Lookup_Status]]="Missing Product","",IFERROR(RawSalesTable5[[#This Row],[Profit]]/RawSalesTable5[[#This Row],[Net_Revenue]],0))</f>
        <v>0.22216238855980378</v>
      </c>
      <c r="Y292">
        <f>RawSalesTable5[[#This Row],[Ship_Date]]-RawSalesTable5[[#This Row],[Order_Date]]</f>
        <v>3</v>
      </c>
      <c r="Z292" s="28">
        <f>DATE(YEAR(RawSalesTable5[[#This Row],[Order_Date]]),MONTH(RawSalesTable5[[#This Row],[Order_Date]]),1)</f>
        <v>45870</v>
      </c>
      <c r="AA292" t="str" cm="1">
        <f t="array" ref="AA292">IF(RawSalesTable5[[#This Row],[Lookup_Status]]="Missing Product","",_xlfn.IFS(RawSalesTable5[[#This Row],[Net_Revenue]]&gt;=20000,"High",RawSalesTable5[[#This Row],[Net_Revenue]]&gt;=10000,"Medium",TRUE,"Low"))</f>
        <v>High</v>
      </c>
    </row>
    <row r="293" spans="1:27">
      <c r="A293" t="s">
        <v>425</v>
      </c>
      <c r="B293" s="15">
        <v>45916</v>
      </c>
      <c r="C293" s="15">
        <v>45920</v>
      </c>
      <c r="D293" t="s">
        <v>114</v>
      </c>
      <c r="E293" t="s">
        <v>101</v>
      </c>
      <c r="F293" t="s">
        <v>118</v>
      </c>
      <c r="G293" t="s">
        <v>86</v>
      </c>
      <c r="H293" t="s">
        <v>87</v>
      </c>
      <c r="I293" s="17">
        <v>4</v>
      </c>
      <c r="J293" s="16">
        <v>0</v>
      </c>
      <c r="K293" t="s">
        <v>88</v>
      </c>
      <c r="L293" t="s">
        <v>89</v>
      </c>
      <c r="M293" s="17">
        <v>3</v>
      </c>
      <c r="N293" t="str" cm="1">
        <f t="array" ref="N293">_xlfn.XLOOKUP(RawSalesTable5[[#This Row],[Product_Code]],ProductLookupTable[[#All],[Product_Code]],ProductLookupTable[[#All],[Product_Name]],"NOT FOUND")</f>
        <v>Mechanical Keyboard</v>
      </c>
      <c r="O293" t="str" cm="1">
        <f t="array" ref="O293">_xlfn.XLOOKUP(RawSalesTable5[[#This Row],[Product_Code]],ProductLookupTable[[#All],[Product_Code]],ProductLookupTable[[#All],[Category]],"NOT FOUND")</f>
        <v>Accessories</v>
      </c>
      <c r="P293" cm="1">
        <f t="array" ref="P293">_xlfn.XLOOKUP(RawSalesTable5[[#This Row],[Product_Code]],ProductLookupTable[[#All],[Product_Code]],ProductLookupTable[[#All],[Unit_Price]],"NOT FOUND")</f>
        <v>2499</v>
      </c>
      <c r="Q293" t="str">
        <f>IF(COUNTIF(ProductLookupTable[Product_Code],RawSalesTable5[[#This Row],[Product_Code]])=0,"Missing Product","OK")</f>
        <v>OK</v>
      </c>
      <c r="R293" cm="1">
        <f t="array" ref="R293">_xlfn.XLOOKUP(RawSalesTable5[[#This Row],[Product_Code]],ProductLookupTable[[#All],[Product_Code]],ProductLookupTable[[#All],[Unit_Cost]],"NOT FOUND")</f>
        <v>1450</v>
      </c>
      <c r="S293">
        <f>IFERROR(RawSalesTable5[[#This Row],[Quantity]]*RawSalesTable5[[#This Row],[Unit_Price]],"NOT FOUND")</f>
        <v>9996</v>
      </c>
      <c r="T293">
        <f>IFERROR(RawSalesTable5[[#This Row],[Gross_Revenue]]*RawSalesTable5[[#This Row],[Discount_Pct]],"NOT FOUND")</f>
        <v>0</v>
      </c>
      <c r="U293">
        <f>IFERROR(RawSalesTable5[[#This Row],[Gross_Revenue]]-RawSalesTable5[[#This Row],[Discount_Value]],"NOT FOUND")</f>
        <v>9996</v>
      </c>
      <c r="V293">
        <f>IFERROR(RawSalesTable5[[#This Row],[Quantity]]*RawSalesTable5[[#This Row],[Unit_Cost]],"NOT FOUND")</f>
        <v>5800</v>
      </c>
      <c r="W293">
        <f>IFERROR(RawSalesTable5[[#This Row],[Net_Revenue]]-RawSalesTable5[[#This Row],[Cost]],"NOT FOUND")</f>
        <v>4196</v>
      </c>
      <c r="X293" s="27">
        <f>IF(RawSalesTable5[[#This Row],[Lookup_Status]]="Missing Product","",IFERROR(RawSalesTable5[[#This Row],[Profit]]/RawSalesTable5[[#This Row],[Net_Revenue]],0))</f>
        <v>0.41976790716286516</v>
      </c>
      <c r="Y293">
        <f>RawSalesTable5[[#This Row],[Ship_Date]]-RawSalesTable5[[#This Row],[Order_Date]]</f>
        <v>4</v>
      </c>
      <c r="Z293" s="28">
        <f>DATE(YEAR(RawSalesTable5[[#This Row],[Order_Date]]),MONTH(RawSalesTable5[[#This Row],[Order_Date]]),1)</f>
        <v>45901</v>
      </c>
      <c r="AA293" t="str" cm="1">
        <f t="array" ref="AA293">IF(RawSalesTable5[[#This Row],[Lookup_Status]]="Missing Product","",_xlfn.IFS(RawSalesTable5[[#This Row],[Net_Revenue]]&gt;=20000,"High",RawSalesTable5[[#This Row],[Net_Revenue]]&gt;=10000,"Medium",TRUE,"Low"))</f>
        <v>Low</v>
      </c>
    </row>
    <row r="294" spans="1:27">
      <c r="A294" t="s">
        <v>426</v>
      </c>
      <c r="B294" s="15">
        <v>45838</v>
      </c>
      <c r="C294" s="15">
        <v>45842</v>
      </c>
      <c r="D294" t="s">
        <v>157</v>
      </c>
      <c r="E294" t="s">
        <v>106</v>
      </c>
      <c r="F294" t="s">
        <v>93</v>
      </c>
      <c r="G294" t="s">
        <v>86</v>
      </c>
      <c r="H294" t="s">
        <v>103</v>
      </c>
      <c r="I294" s="17">
        <v>4</v>
      </c>
      <c r="J294" s="16">
        <v>0.05</v>
      </c>
      <c r="K294" t="s">
        <v>112</v>
      </c>
      <c r="L294" t="s">
        <v>89</v>
      </c>
      <c r="M294" s="17">
        <v>3</v>
      </c>
      <c r="N294" t="str" cm="1">
        <f t="array" ref="N294">_xlfn.XLOOKUP(RawSalesTable5[[#This Row],[Product_Code]],ProductLookupTable[[#All],[Product_Code]],ProductLookupTable[[#All],[Product_Name]],"NOT FOUND")</f>
        <v>Wireless Headset</v>
      </c>
      <c r="O294" t="str" cm="1">
        <f t="array" ref="O294">_xlfn.XLOOKUP(RawSalesTable5[[#This Row],[Product_Code]],ProductLookupTable[[#All],[Product_Code]],ProductLookupTable[[#All],[Category]],"NOT FOUND")</f>
        <v>Audio</v>
      </c>
      <c r="P294" cm="1">
        <f t="array" ref="P294">_xlfn.XLOOKUP(RawSalesTable5[[#This Row],[Product_Code]],ProductLookupTable[[#All],[Product_Code]],ProductLookupTable[[#All],[Unit_Price]],"NOT FOUND")</f>
        <v>3499</v>
      </c>
      <c r="Q294" t="str">
        <f>IF(COUNTIF(ProductLookupTable[Product_Code],RawSalesTable5[[#This Row],[Product_Code]])=0,"Missing Product","OK")</f>
        <v>OK</v>
      </c>
      <c r="R294" cm="1">
        <f t="array" ref="R294">_xlfn.XLOOKUP(RawSalesTable5[[#This Row],[Product_Code]],ProductLookupTable[[#All],[Product_Code]],ProductLookupTable[[#All],[Unit_Cost]],"NOT FOUND")</f>
        <v>2100</v>
      </c>
      <c r="S294">
        <f>IFERROR(RawSalesTable5[[#This Row],[Quantity]]*RawSalesTable5[[#This Row],[Unit_Price]],"NOT FOUND")</f>
        <v>13996</v>
      </c>
      <c r="T294">
        <f>IFERROR(RawSalesTable5[[#This Row],[Gross_Revenue]]*RawSalesTable5[[#This Row],[Discount_Pct]],"NOT FOUND")</f>
        <v>699.80000000000007</v>
      </c>
      <c r="U294">
        <f>IFERROR(RawSalesTable5[[#This Row],[Gross_Revenue]]-RawSalesTable5[[#This Row],[Discount_Value]],"NOT FOUND")</f>
        <v>13296.2</v>
      </c>
      <c r="V294">
        <f>IFERROR(RawSalesTable5[[#This Row],[Quantity]]*RawSalesTable5[[#This Row],[Unit_Cost]],"NOT FOUND")</f>
        <v>8400</v>
      </c>
      <c r="W294">
        <f>IFERROR(RawSalesTable5[[#This Row],[Net_Revenue]]-RawSalesTable5[[#This Row],[Cost]],"NOT FOUND")</f>
        <v>4896.2000000000007</v>
      </c>
      <c r="X294" s="27">
        <f>IF(RawSalesTable5[[#This Row],[Lookup_Status]]="Missing Product","",IFERROR(RawSalesTable5[[#This Row],[Profit]]/RawSalesTable5[[#This Row],[Net_Revenue]],0))</f>
        <v>0.36824054993155941</v>
      </c>
      <c r="Y294">
        <f>RawSalesTable5[[#This Row],[Ship_Date]]-RawSalesTable5[[#This Row],[Order_Date]]</f>
        <v>4</v>
      </c>
      <c r="Z294" s="28">
        <f>DATE(YEAR(RawSalesTable5[[#This Row],[Order_Date]]),MONTH(RawSalesTable5[[#This Row],[Order_Date]]),1)</f>
        <v>45809</v>
      </c>
      <c r="AA294" t="str" cm="1">
        <f t="array" ref="AA294">IF(RawSalesTable5[[#This Row],[Lookup_Status]]="Missing Product","",_xlfn.IFS(RawSalesTable5[[#This Row],[Net_Revenue]]&gt;=20000,"High",RawSalesTable5[[#This Row],[Net_Revenue]]&gt;=10000,"Medium",TRUE,"Low"))</f>
        <v>Medium</v>
      </c>
    </row>
    <row r="295" spans="1:27">
      <c r="A295" t="s">
        <v>427</v>
      </c>
      <c r="B295" s="15">
        <v>45962</v>
      </c>
      <c r="C295" s="15">
        <v>45964</v>
      </c>
      <c r="D295" t="s">
        <v>212</v>
      </c>
      <c r="E295" t="s">
        <v>111</v>
      </c>
      <c r="F295" t="s">
        <v>115</v>
      </c>
      <c r="G295" t="s">
        <v>86</v>
      </c>
      <c r="H295" t="s">
        <v>86</v>
      </c>
      <c r="I295" s="17">
        <v>4</v>
      </c>
      <c r="J295" s="16">
        <v>0.1</v>
      </c>
      <c r="K295" t="s">
        <v>119</v>
      </c>
      <c r="L295" t="s">
        <v>89</v>
      </c>
      <c r="M295" s="17">
        <v>3</v>
      </c>
      <c r="N295" t="str" cm="1">
        <f t="array" ref="N295">_xlfn.XLOOKUP(RawSalesTable5[[#This Row],[Product_Code]],ProductLookupTable[[#All],[Product_Code]],ProductLookupTable[[#All],[Product_Name]],"NOT FOUND")</f>
        <v>USB-C Hub</v>
      </c>
      <c r="O295" t="str" cm="1">
        <f t="array" ref="O295">_xlfn.XLOOKUP(RawSalesTable5[[#This Row],[Product_Code]],ProductLookupTable[[#All],[Product_Code]],ProductLookupTable[[#All],[Category]],"NOT FOUND")</f>
        <v>Accessories</v>
      </c>
      <c r="P295" cm="1">
        <f t="array" ref="P295">_xlfn.XLOOKUP(RawSalesTable5[[#This Row],[Product_Code]],ProductLookupTable[[#All],[Product_Code]],ProductLookupTable[[#All],[Unit_Price]],"NOT FOUND")</f>
        <v>1599</v>
      </c>
      <c r="Q295" t="str">
        <f>IF(COUNTIF(ProductLookupTable[Product_Code],RawSalesTable5[[#This Row],[Product_Code]])=0,"Missing Product","OK")</f>
        <v>OK</v>
      </c>
      <c r="R295" cm="1">
        <f t="array" ref="R295">_xlfn.XLOOKUP(RawSalesTable5[[#This Row],[Product_Code]],ProductLookupTable[[#All],[Product_Code]],ProductLookupTable[[#All],[Unit_Cost]],"NOT FOUND")</f>
        <v>870</v>
      </c>
      <c r="S295">
        <f>IFERROR(RawSalesTable5[[#This Row],[Quantity]]*RawSalesTable5[[#This Row],[Unit_Price]],"NOT FOUND")</f>
        <v>6396</v>
      </c>
      <c r="T295">
        <f>IFERROR(RawSalesTable5[[#This Row],[Gross_Revenue]]*RawSalesTable5[[#This Row],[Discount_Pct]],"NOT FOUND")</f>
        <v>639.6</v>
      </c>
      <c r="U295">
        <f>IFERROR(RawSalesTable5[[#This Row],[Gross_Revenue]]-RawSalesTable5[[#This Row],[Discount_Value]],"NOT FOUND")</f>
        <v>5756.4</v>
      </c>
      <c r="V295">
        <f>IFERROR(RawSalesTable5[[#This Row],[Quantity]]*RawSalesTable5[[#This Row],[Unit_Cost]],"NOT FOUND")</f>
        <v>3480</v>
      </c>
      <c r="W295">
        <f>IFERROR(RawSalesTable5[[#This Row],[Net_Revenue]]-RawSalesTable5[[#This Row],[Cost]],"NOT FOUND")</f>
        <v>2276.3999999999996</v>
      </c>
      <c r="X295" s="27">
        <f>IF(RawSalesTable5[[#This Row],[Lookup_Status]]="Missing Product","",IFERROR(RawSalesTable5[[#This Row],[Profit]]/RawSalesTable5[[#This Row],[Net_Revenue]],0))</f>
        <v>0.3954554930164686</v>
      </c>
      <c r="Y295">
        <f>RawSalesTable5[[#This Row],[Ship_Date]]-RawSalesTable5[[#This Row],[Order_Date]]</f>
        <v>2</v>
      </c>
      <c r="Z295" s="28">
        <f>DATE(YEAR(RawSalesTable5[[#This Row],[Order_Date]]),MONTH(RawSalesTable5[[#This Row],[Order_Date]]),1)</f>
        <v>45962</v>
      </c>
      <c r="AA295" t="str" cm="1">
        <f t="array" ref="AA295">IF(RawSalesTable5[[#This Row],[Lookup_Status]]="Missing Product","",_xlfn.IFS(RawSalesTable5[[#This Row],[Net_Revenue]]&gt;=20000,"High",RawSalesTable5[[#This Row],[Net_Revenue]]&gt;=10000,"Medium",TRUE,"Low"))</f>
        <v>Low</v>
      </c>
    </row>
    <row r="296" spans="1:27">
      <c r="A296" t="s">
        <v>428</v>
      </c>
      <c r="B296" s="15">
        <v>45993</v>
      </c>
      <c r="C296" s="15">
        <v>45999</v>
      </c>
      <c r="D296" t="s">
        <v>123</v>
      </c>
      <c r="E296" t="s">
        <v>84</v>
      </c>
      <c r="F296" t="s">
        <v>154</v>
      </c>
      <c r="G296" t="s">
        <v>125</v>
      </c>
      <c r="H296" t="s">
        <v>103</v>
      </c>
      <c r="I296" s="17">
        <v>1</v>
      </c>
      <c r="J296" s="16">
        <v>0.05</v>
      </c>
      <c r="K296" t="s">
        <v>88</v>
      </c>
      <c r="L296" t="s">
        <v>89</v>
      </c>
      <c r="M296" s="17">
        <v>5</v>
      </c>
      <c r="N296" t="str" cm="1">
        <f t="array" ref="N296">_xlfn.XLOOKUP(RawSalesTable5[[#This Row],[Product_Code]],ProductLookupTable[[#All],[Product_Code]],ProductLookupTable[[#All],[Product_Name]],"NOT FOUND")</f>
        <v>Laptop Stand</v>
      </c>
      <c r="O296" t="str" cm="1">
        <f t="array" ref="O296">_xlfn.XLOOKUP(RawSalesTable5[[#This Row],[Product_Code]],ProductLookupTable[[#All],[Product_Code]],ProductLookupTable[[#All],[Category]],"NOT FOUND")</f>
        <v>Accessories</v>
      </c>
      <c r="P296" cm="1">
        <f t="array" ref="P296">_xlfn.XLOOKUP(RawSalesTable5[[#This Row],[Product_Code]],ProductLookupTable[[#All],[Product_Code]],ProductLookupTable[[#All],[Unit_Price]],"NOT FOUND")</f>
        <v>1899</v>
      </c>
      <c r="Q296" t="str">
        <f>IF(COUNTIF(ProductLookupTable[Product_Code],RawSalesTable5[[#This Row],[Product_Code]])=0,"Missing Product","OK")</f>
        <v>OK</v>
      </c>
      <c r="R296" cm="1">
        <f t="array" ref="R296">_xlfn.XLOOKUP(RawSalesTable5[[#This Row],[Product_Code]],ProductLookupTable[[#All],[Product_Code]],ProductLookupTable[[#All],[Unit_Cost]],"NOT FOUND")</f>
        <v>980</v>
      </c>
      <c r="S296">
        <f>IFERROR(RawSalesTable5[[#This Row],[Quantity]]*RawSalesTable5[[#This Row],[Unit_Price]],"NOT FOUND")</f>
        <v>1899</v>
      </c>
      <c r="T296">
        <f>IFERROR(RawSalesTable5[[#This Row],[Gross_Revenue]]*RawSalesTable5[[#This Row],[Discount_Pct]],"NOT FOUND")</f>
        <v>94.95</v>
      </c>
      <c r="U296">
        <f>IFERROR(RawSalesTable5[[#This Row],[Gross_Revenue]]-RawSalesTable5[[#This Row],[Discount_Value]],"NOT FOUND")</f>
        <v>1804.05</v>
      </c>
      <c r="V296">
        <f>IFERROR(RawSalesTable5[[#This Row],[Quantity]]*RawSalesTable5[[#This Row],[Unit_Cost]],"NOT FOUND")</f>
        <v>980</v>
      </c>
      <c r="W296">
        <f>IFERROR(RawSalesTable5[[#This Row],[Net_Revenue]]-RawSalesTable5[[#This Row],[Cost]],"NOT FOUND")</f>
        <v>824.05</v>
      </c>
      <c r="X296" s="27">
        <f>IF(RawSalesTable5[[#This Row],[Lookup_Status]]="Missing Product","",IFERROR(RawSalesTable5[[#This Row],[Profit]]/RawSalesTable5[[#This Row],[Net_Revenue]],0))</f>
        <v>0.45677780549319585</v>
      </c>
      <c r="Y296">
        <f>RawSalesTable5[[#This Row],[Ship_Date]]-RawSalesTable5[[#This Row],[Order_Date]]</f>
        <v>6</v>
      </c>
      <c r="Z296" s="28">
        <f>DATE(YEAR(RawSalesTable5[[#This Row],[Order_Date]]),MONTH(RawSalesTable5[[#This Row],[Order_Date]]),1)</f>
        <v>45992</v>
      </c>
      <c r="AA296" t="str" cm="1">
        <f t="array" ref="AA296">IF(RawSalesTable5[[#This Row],[Lookup_Status]]="Missing Product","",_xlfn.IFS(RawSalesTable5[[#This Row],[Net_Revenue]]&gt;=20000,"High",RawSalesTable5[[#This Row],[Net_Revenue]]&gt;=10000,"Medium",TRUE,"Low"))</f>
        <v>Low</v>
      </c>
    </row>
    <row r="297" spans="1:27">
      <c r="A297" t="s">
        <v>429</v>
      </c>
      <c r="B297" s="15">
        <v>45985</v>
      </c>
      <c r="C297" s="15">
        <v>45993</v>
      </c>
      <c r="D297" t="s">
        <v>83</v>
      </c>
      <c r="E297" t="s">
        <v>92</v>
      </c>
      <c r="F297" t="s">
        <v>147</v>
      </c>
      <c r="G297" t="s">
        <v>125</v>
      </c>
      <c r="H297" t="s">
        <v>87</v>
      </c>
      <c r="I297" s="17">
        <v>4</v>
      </c>
      <c r="J297" s="16">
        <v>0.15</v>
      </c>
      <c r="K297" t="s">
        <v>140</v>
      </c>
      <c r="L297" t="s">
        <v>89</v>
      </c>
      <c r="M297" s="17">
        <v>3</v>
      </c>
      <c r="N297" t="str" cm="1">
        <f t="array" ref="N297">_xlfn.XLOOKUP(RawSalesTable5[[#This Row],[Product_Code]],ProductLookupTable[[#All],[Product_Code]],ProductLookupTable[[#All],[Product_Name]],"NOT FOUND")</f>
        <v>LED Desk Lamp</v>
      </c>
      <c r="O297" t="str" cm="1">
        <f t="array" ref="O297">_xlfn.XLOOKUP(RawSalesTable5[[#This Row],[Product_Code]],ProductLookupTable[[#All],[Product_Code]],ProductLookupTable[[#All],[Category]],"NOT FOUND")</f>
        <v>Furniture</v>
      </c>
      <c r="P297" cm="1">
        <f t="array" ref="P297">_xlfn.XLOOKUP(RawSalesTable5[[#This Row],[Product_Code]],ProductLookupTable[[#All],[Product_Code]],ProductLookupTable[[#All],[Unit_Price]],"NOT FOUND")</f>
        <v>1999</v>
      </c>
      <c r="Q297" t="str">
        <f>IF(COUNTIF(ProductLookupTable[Product_Code],RawSalesTable5[[#This Row],[Product_Code]])=0,"Missing Product","OK")</f>
        <v>OK</v>
      </c>
      <c r="R297" cm="1">
        <f t="array" ref="R297">_xlfn.XLOOKUP(RawSalesTable5[[#This Row],[Product_Code]],ProductLookupTable[[#All],[Product_Code]],ProductLookupTable[[#All],[Unit_Cost]],"NOT FOUND")</f>
        <v>1050</v>
      </c>
      <c r="S297">
        <f>IFERROR(RawSalesTable5[[#This Row],[Quantity]]*RawSalesTable5[[#This Row],[Unit_Price]],"NOT FOUND")</f>
        <v>7996</v>
      </c>
      <c r="T297">
        <f>IFERROR(RawSalesTable5[[#This Row],[Gross_Revenue]]*RawSalesTable5[[#This Row],[Discount_Pct]],"NOT FOUND")</f>
        <v>1199.3999999999999</v>
      </c>
      <c r="U297">
        <f>IFERROR(RawSalesTable5[[#This Row],[Gross_Revenue]]-RawSalesTable5[[#This Row],[Discount_Value]],"NOT FOUND")</f>
        <v>6796.6</v>
      </c>
      <c r="V297">
        <f>IFERROR(RawSalesTable5[[#This Row],[Quantity]]*RawSalesTable5[[#This Row],[Unit_Cost]],"NOT FOUND")</f>
        <v>4200</v>
      </c>
      <c r="W297">
        <f>IFERROR(RawSalesTable5[[#This Row],[Net_Revenue]]-RawSalesTable5[[#This Row],[Cost]],"NOT FOUND")</f>
        <v>2596.6000000000004</v>
      </c>
      <c r="X297" s="27">
        <f>IF(RawSalesTable5[[#This Row],[Lookup_Status]]="Missing Product","",IFERROR(RawSalesTable5[[#This Row],[Profit]]/RawSalesTable5[[#This Row],[Net_Revenue]],0))</f>
        <v>0.38204396315804967</v>
      </c>
      <c r="Y297">
        <f>RawSalesTable5[[#This Row],[Ship_Date]]-RawSalesTable5[[#This Row],[Order_Date]]</f>
        <v>8</v>
      </c>
      <c r="Z297" s="28">
        <f>DATE(YEAR(RawSalesTable5[[#This Row],[Order_Date]]),MONTH(RawSalesTable5[[#This Row],[Order_Date]]),1)</f>
        <v>45962</v>
      </c>
      <c r="AA297" t="str" cm="1">
        <f t="array" ref="AA297">IF(RawSalesTable5[[#This Row],[Lookup_Status]]="Missing Product","",_xlfn.IFS(RawSalesTable5[[#This Row],[Net_Revenue]]&gt;=20000,"High",RawSalesTable5[[#This Row],[Net_Revenue]]&gt;=10000,"Medium",TRUE,"Low"))</f>
        <v>Low</v>
      </c>
    </row>
    <row r="298" spans="1:27">
      <c r="A298" t="s">
        <v>430</v>
      </c>
      <c r="B298" s="15">
        <v>45909</v>
      </c>
      <c r="C298" s="15">
        <v>45913</v>
      </c>
      <c r="D298" t="s">
        <v>114</v>
      </c>
      <c r="E298" t="s">
        <v>98</v>
      </c>
      <c r="F298" t="s">
        <v>102</v>
      </c>
      <c r="G298" t="s">
        <v>94</v>
      </c>
      <c r="H298" t="s">
        <v>86</v>
      </c>
      <c r="I298" s="17">
        <v>2</v>
      </c>
      <c r="J298" s="16">
        <v>0</v>
      </c>
      <c r="K298" t="s">
        <v>88</v>
      </c>
      <c r="L298" t="s">
        <v>126</v>
      </c>
      <c r="M298" s="17">
        <v>3</v>
      </c>
      <c r="N298" t="str" cm="1">
        <f t="array" ref="N298">_xlfn.XLOOKUP(RawSalesTable5[[#This Row],[Product_Code]],ProductLookupTable[[#All],[Product_Code]],ProductLookupTable[[#All],[Product_Name]],"NOT FOUND")</f>
        <v>SSD 1TB</v>
      </c>
      <c r="O298" t="str" cm="1">
        <f t="array" ref="O298">_xlfn.XLOOKUP(RawSalesTable5[[#This Row],[Product_Code]],ProductLookupTable[[#All],[Product_Code]],ProductLookupTable[[#All],[Category]],"NOT FOUND")</f>
        <v>Storage</v>
      </c>
      <c r="P298" cm="1">
        <f t="array" ref="P298">_xlfn.XLOOKUP(RawSalesTable5[[#This Row],[Product_Code]],ProductLookupTable[[#All],[Product_Code]],ProductLookupTable[[#All],[Unit_Price]],"NOT FOUND")</f>
        <v>6999</v>
      </c>
      <c r="Q298" t="str">
        <f>IF(COUNTIF(ProductLookupTable[Product_Code],RawSalesTable5[[#This Row],[Product_Code]])=0,"Missing Product","OK")</f>
        <v>OK</v>
      </c>
      <c r="R298" cm="1">
        <f t="array" ref="R298">_xlfn.XLOOKUP(RawSalesTable5[[#This Row],[Product_Code]],ProductLookupTable[[#All],[Product_Code]],ProductLookupTable[[#All],[Unit_Cost]],"NOT FOUND")</f>
        <v>4900</v>
      </c>
      <c r="S298">
        <f>IFERROR(RawSalesTable5[[#This Row],[Quantity]]*RawSalesTable5[[#This Row],[Unit_Price]],"NOT FOUND")</f>
        <v>13998</v>
      </c>
      <c r="T298">
        <f>IFERROR(RawSalesTable5[[#This Row],[Gross_Revenue]]*RawSalesTable5[[#This Row],[Discount_Pct]],"NOT FOUND")</f>
        <v>0</v>
      </c>
      <c r="U298">
        <f>IFERROR(RawSalesTable5[[#This Row],[Gross_Revenue]]-RawSalesTable5[[#This Row],[Discount_Value]],"NOT FOUND")</f>
        <v>13998</v>
      </c>
      <c r="V298">
        <f>IFERROR(RawSalesTable5[[#This Row],[Quantity]]*RawSalesTable5[[#This Row],[Unit_Cost]],"NOT FOUND")</f>
        <v>9800</v>
      </c>
      <c r="W298">
        <f>IFERROR(RawSalesTable5[[#This Row],[Net_Revenue]]-RawSalesTable5[[#This Row],[Cost]],"NOT FOUND")</f>
        <v>4198</v>
      </c>
      <c r="X298" s="27">
        <f>IF(RawSalesTable5[[#This Row],[Lookup_Status]]="Missing Product","",IFERROR(RawSalesTable5[[#This Row],[Profit]]/RawSalesTable5[[#This Row],[Net_Revenue]],0))</f>
        <v>0.29989998571224463</v>
      </c>
      <c r="Y298">
        <f>RawSalesTable5[[#This Row],[Ship_Date]]-RawSalesTable5[[#This Row],[Order_Date]]</f>
        <v>4</v>
      </c>
      <c r="Z298" s="28">
        <f>DATE(YEAR(RawSalesTable5[[#This Row],[Order_Date]]),MONTH(RawSalesTable5[[#This Row],[Order_Date]]),1)</f>
        <v>45901</v>
      </c>
      <c r="AA298" t="str" cm="1">
        <f t="array" ref="AA298">IF(RawSalesTable5[[#This Row],[Lookup_Status]]="Missing Product","",_xlfn.IFS(RawSalesTable5[[#This Row],[Net_Revenue]]&gt;=20000,"High",RawSalesTable5[[#This Row],[Net_Revenue]]&gt;=10000,"Medium",TRUE,"Low"))</f>
        <v>Medium</v>
      </c>
    </row>
    <row r="299" spans="1:27">
      <c r="A299" t="s">
        <v>431</v>
      </c>
      <c r="B299" s="15">
        <v>45952</v>
      </c>
      <c r="C299" s="15">
        <v>45957</v>
      </c>
      <c r="D299" t="s">
        <v>157</v>
      </c>
      <c r="E299" t="s">
        <v>101</v>
      </c>
      <c r="F299" t="s">
        <v>85</v>
      </c>
      <c r="G299" t="s">
        <v>125</v>
      </c>
      <c r="H299" t="s">
        <v>103</v>
      </c>
      <c r="I299" s="17">
        <v>3</v>
      </c>
      <c r="J299" s="16">
        <v>0</v>
      </c>
      <c r="K299" t="s">
        <v>88</v>
      </c>
      <c r="L299" t="s">
        <v>89</v>
      </c>
      <c r="M299" s="17">
        <v>4</v>
      </c>
      <c r="N299" t="str" cm="1">
        <f t="array" ref="N299">_xlfn.XLOOKUP(RawSalesTable5[[#This Row],[Product_Code]],ProductLookupTable[[#All],[Product_Code]],ProductLookupTable[[#All],[Product_Name]],"NOT FOUND")</f>
        <v>Ergonomic Chair</v>
      </c>
      <c r="O299" t="str" cm="1">
        <f t="array" ref="O299">_xlfn.XLOOKUP(RawSalesTable5[[#This Row],[Product_Code]],ProductLookupTable[[#All],[Product_Code]],ProductLookupTable[[#All],[Category]],"NOT FOUND")</f>
        <v>Furniture</v>
      </c>
      <c r="P299" cm="1">
        <f t="array" ref="P299">_xlfn.XLOOKUP(RawSalesTable5[[#This Row],[Product_Code]],ProductLookupTable[[#All],[Product_Code]],ProductLookupTable[[#All],[Unit_Price]],"NOT FOUND")</f>
        <v>10499</v>
      </c>
      <c r="Q299" t="str">
        <f>IF(COUNTIF(ProductLookupTable[Product_Code],RawSalesTable5[[#This Row],[Product_Code]])=0,"Missing Product","OK")</f>
        <v>OK</v>
      </c>
      <c r="R299" cm="1">
        <f t="array" ref="R299">_xlfn.XLOOKUP(RawSalesTable5[[#This Row],[Product_Code]],ProductLookupTable[[#All],[Product_Code]],ProductLookupTable[[#All],[Unit_Cost]],"NOT FOUND")</f>
        <v>7600</v>
      </c>
      <c r="S299">
        <f>IFERROR(RawSalesTable5[[#This Row],[Quantity]]*RawSalesTable5[[#This Row],[Unit_Price]],"NOT FOUND")</f>
        <v>31497</v>
      </c>
      <c r="T299">
        <f>IFERROR(RawSalesTable5[[#This Row],[Gross_Revenue]]*RawSalesTable5[[#This Row],[Discount_Pct]],"NOT FOUND")</f>
        <v>0</v>
      </c>
      <c r="U299">
        <f>IFERROR(RawSalesTable5[[#This Row],[Gross_Revenue]]-RawSalesTable5[[#This Row],[Discount_Value]],"NOT FOUND")</f>
        <v>31497</v>
      </c>
      <c r="V299">
        <f>IFERROR(RawSalesTable5[[#This Row],[Quantity]]*RawSalesTable5[[#This Row],[Unit_Cost]],"NOT FOUND")</f>
        <v>22800</v>
      </c>
      <c r="W299">
        <f>IFERROR(RawSalesTable5[[#This Row],[Net_Revenue]]-RawSalesTable5[[#This Row],[Cost]],"NOT FOUND")</f>
        <v>8697</v>
      </c>
      <c r="X299" s="27">
        <f>IF(RawSalesTable5[[#This Row],[Lookup_Status]]="Missing Product","",IFERROR(RawSalesTable5[[#This Row],[Profit]]/RawSalesTable5[[#This Row],[Net_Revenue]],0))</f>
        <v>0.27612153538432233</v>
      </c>
      <c r="Y299">
        <f>RawSalesTable5[[#This Row],[Ship_Date]]-RawSalesTable5[[#This Row],[Order_Date]]</f>
        <v>5</v>
      </c>
      <c r="Z299" s="28">
        <f>DATE(YEAR(RawSalesTable5[[#This Row],[Order_Date]]),MONTH(RawSalesTable5[[#This Row],[Order_Date]]),1)</f>
        <v>45931</v>
      </c>
      <c r="AA299" t="str" cm="1">
        <f t="array" ref="AA299">IF(RawSalesTable5[[#This Row],[Lookup_Status]]="Missing Product","",_xlfn.IFS(RawSalesTable5[[#This Row],[Net_Revenue]]&gt;=20000,"High",RawSalesTable5[[#This Row],[Net_Revenue]]&gt;=10000,"Medium",TRUE,"Low"))</f>
        <v>High</v>
      </c>
    </row>
    <row r="300" spans="1:27">
      <c r="A300" t="s">
        <v>432</v>
      </c>
      <c r="B300" s="15">
        <v>45979</v>
      </c>
      <c r="C300" s="15">
        <v>45987</v>
      </c>
      <c r="D300" t="s">
        <v>531</v>
      </c>
      <c r="E300" t="s">
        <v>106</v>
      </c>
      <c r="F300" t="s">
        <v>85</v>
      </c>
      <c r="G300" t="s">
        <v>108</v>
      </c>
      <c r="H300" t="s">
        <v>103</v>
      </c>
      <c r="I300" s="17">
        <v>5</v>
      </c>
      <c r="J300" s="16">
        <v>0.1</v>
      </c>
      <c r="K300" t="s">
        <v>140</v>
      </c>
      <c r="L300" t="s">
        <v>89</v>
      </c>
      <c r="M300" s="17">
        <v>4</v>
      </c>
      <c r="N300" t="str" cm="1">
        <f t="array" ref="N300">_xlfn.XLOOKUP(RawSalesTable5[[#This Row],[Product_Code]],ProductLookupTable[[#All],[Product_Code]],ProductLookupTable[[#All],[Product_Name]],"NOT FOUND")</f>
        <v>Ergonomic Chair</v>
      </c>
      <c r="O300" t="str" cm="1">
        <f t="array" ref="O300">_xlfn.XLOOKUP(RawSalesTable5[[#This Row],[Product_Code]],ProductLookupTable[[#All],[Product_Code]],ProductLookupTable[[#All],[Category]],"NOT FOUND")</f>
        <v>Furniture</v>
      </c>
      <c r="P300" cm="1">
        <f t="array" ref="P300">_xlfn.XLOOKUP(RawSalesTable5[[#This Row],[Product_Code]],ProductLookupTable[[#All],[Product_Code]],ProductLookupTable[[#All],[Unit_Price]],"NOT FOUND")</f>
        <v>10499</v>
      </c>
      <c r="Q300" t="str">
        <f>IF(COUNTIF(ProductLookupTable[Product_Code],RawSalesTable5[[#This Row],[Product_Code]])=0,"Missing Product","OK")</f>
        <v>OK</v>
      </c>
      <c r="R300" cm="1">
        <f t="array" ref="R300">_xlfn.XLOOKUP(RawSalesTable5[[#This Row],[Product_Code]],ProductLookupTable[[#All],[Product_Code]],ProductLookupTable[[#All],[Unit_Cost]],"NOT FOUND")</f>
        <v>7600</v>
      </c>
      <c r="S300">
        <f>IFERROR(RawSalesTable5[[#This Row],[Quantity]]*RawSalesTable5[[#This Row],[Unit_Price]],"NOT FOUND")</f>
        <v>52495</v>
      </c>
      <c r="T300">
        <f>IFERROR(RawSalesTable5[[#This Row],[Gross_Revenue]]*RawSalesTable5[[#This Row],[Discount_Pct]],"NOT FOUND")</f>
        <v>5249.5</v>
      </c>
      <c r="U300">
        <f>IFERROR(RawSalesTable5[[#This Row],[Gross_Revenue]]-RawSalesTable5[[#This Row],[Discount_Value]],"NOT FOUND")</f>
        <v>47245.5</v>
      </c>
      <c r="V300">
        <f>IFERROR(RawSalesTable5[[#This Row],[Quantity]]*RawSalesTable5[[#This Row],[Unit_Cost]],"NOT FOUND")</f>
        <v>38000</v>
      </c>
      <c r="W300">
        <f>IFERROR(RawSalesTable5[[#This Row],[Net_Revenue]]-RawSalesTable5[[#This Row],[Cost]],"NOT FOUND")</f>
        <v>9245.5</v>
      </c>
      <c r="X300" s="27">
        <f>IF(RawSalesTable5[[#This Row],[Lookup_Status]]="Missing Product","",IFERROR(RawSalesTable5[[#This Row],[Profit]]/RawSalesTable5[[#This Row],[Net_Revenue]],0))</f>
        <v>0.19569059487146925</v>
      </c>
      <c r="Y300">
        <f>RawSalesTable5[[#This Row],[Ship_Date]]-RawSalesTable5[[#This Row],[Order_Date]]</f>
        <v>8</v>
      </c>
      <c r="Z300" s="28">
        <f>DATE(YEAR(RawSalesTable5[[#This Row],[Order_Date]]),MONTH(RawSalesTable5[[#This Row],[Order_Date]]),1)</f>
        <v>45962</v>
      </c>
      <c r="AA300" t="str" cm="1">
        <f t="array" ref="AA300">IF(RawSalesTable5[[#This Row],[Lookup_Status]]="Missing Product","",_xlfn.IFS(RawSalesTable5[[#This Row],[Net_Revenue]]&gt;=20000,"High",RawSalesTable5[[#This Row],[Net_Revenue]]&gt;=10000,"Medium",TRUE,"Low"))</f>
        <v>High</v>
      </c>
    </row>
    <row r="301" spans="1:27">
      <c r="A301" t="s">
        <v>433</v>
      </c>
      <c r="B301" s="15">
        <v>45949</v>
      </c>
      <c r="C301" s="15">
        <v>45955</v>
      </c>
      <c r="D301" t="s">
        <v>123</v>
      </c>
      <c r="E301" t="s">
        <v>111</v>
      </c>
      <c r="F301" t="s">
        <v>118</v>
      </c>
      <c r="G301" t="s">
        <v>94</v>
      </c>
      <c r="H301" t="s">
        <v>103</v>
      </c>
      <c r="I301" s="17">
        <v>1</v>
      </c>
      <c r="J301" s="16">
        <v>0.2</v>
      </c>
      <c r="K301" t="s">
        <v>140</v>
      </c>
      <c r="L301" t="s">
        <v>89</v>
      </c>
      <c r="M301" s="17">
        <v>4</v>
      </c>
      <c r="N301" t="str" cm="1">
        <f t="array" ref="N301">_xlfn.XLOOKUP(RawSalesTable5[[#This Row],[Product_Code]],ProductLookupTable[[#All],[Product_Code]],ProductLookupTable[[#All],[Product_Name]],"NOT FOUND")</f>
        <v>Mechanical Keyboard</v>
      </c>
      <c r="O301" t="str" cm="1">
        <f t="array" ref="O301">_xlfn.XLOOKUP(RawSalesTable5[[#This Row],[Product_Code]],ProductLookupTable[[#All],[Product_Code]],ProductLookupTable[[#All],[Category]],"NOT FOUND")</f>
        <v>Accessories</v>
      </c>
      <c r="P301" cm="1">
        <f t="array" ref="P301">_xlfn.XLOOKUP(RawSalesTable5[[#This Row],[Product_Code]],ProductLookupTable[[#All],[Product_Code]],ProductLookupTable[[#All],[Unit_Price]],"NOT FOUND")</f>
        <v>2499</v>
      </c>
      <c r="Q301" t="str">
        <f>IF(COUNTIF(ProductLookupTable[Product_Code],RawSalesTable5[[#This Row],[Product_Code]])=0,"Missing Product","OK")</f>
        <v>OK</v>
      </c>
      <c r="R301" cm="1">
        <f t="array" ref="R301">_xlfn.XLOOKUP(RawSalesTable5[[#This Row],[Product_Code]],ProductLookupTable[[#All],[Product_Code]],ProductLookupTable[[#All],[Unit_Cost]],"NOT FOUND")</f>
        <v>1450</v>
      </c>
      <c r="S301">
        <f>IFERROR(RawSalesTable5[[#This Row],[Quantity]]*RawSalesTable5[[#This Row],[Unit_Price]],"NOT FOUND")</f>
        <v>2499</v>
      </c>
      <c r="T301">
        <f>IFERROR(RawSalesTable5[[#This Row],[Gross_Revenue]]*RawSalesTable5[[#This Row],[Discount_Pct]],"NOT FOUND")</f>
        <v>499.8</v>
      </c>
      <c r="U301">
        <f>IFERROR(RawSalesTable5[[#This Row],[Gross_Revenue]]-RawSalesTable5[[#This Row],[Discount_Value]],"NOT FOUND")</f>
        <v>1999.2</v>
      </c>
      <c r="V301">
        <f>IFERROR(RawSalesTable5[[#This Row],[Quantity]]*RawSalesTable5[[#This Row],[Unit_Cost]],"NOT FOUND")</f>
        <v>1450</v>
      </c>
      <c r="W301">
        <f>IFERROR(RawSalesTable5[[#This Row],[Net_Revenue]]-RawSalesTable5[[#This Row],[Cost]],"NOT FOUND")</f>
        <v>549.20000000000005</v>
      </c>
      <c r="X301" s="27">
        <f>IF(RawSalesTable5[[#This Row],[Lookup_Status]]="Missing Product","",IFERROR(RawSalesTable5[[#This Row],[Profit]]/RawSalesTable5[[#This Row],[Net_Revenue]],0))</f>
        <v>0.27470988395358142</v>
      </c>
      <c r="Y301">
        <f>RawSalesTable5[[#This Row],[Ship_Date]]-RawSalesTable5[[#This Row],[Order_Date]]</f>
        <v>6</v>
      </c>
      <c r="Z301" s="28">
        <f>DATE(YEAR(RawSalesTable5[[#This Row],[Order_Date]]),MONTH(RawSalesTable5[[#This Row],[Order_Date]]),1)</f>
        <v>45931</v>
      </c>
      <c r="AA301" t="str" cm="1">
        <f t="array" ref="AA301">IF(RawSalesTable5[[#This Row],[Lookup_Status]]="Missing Product","",_xlfn.IFS(RawSalesTable5[[#This Row],[Net_Revenue]]&gt;=20000,"High",RawSalesTable5[[#This Row],[Net_Revenue]]&gt;=10000,"Medium",TRUE,"Low"))</f>
        <v>Low</v>
      </c>
    </row>
    <row r="302" spans="1:27">
      <c r="A302" t="s">
        <v>434</v>
      </c>
      <c r="B302" s="15">
        <v>45724</v>
      </c>
      <c r="C302" s="15">
        <v>45725</v>
      </c>
      <c r="D302" t="s">
        <v>83</v>
      </c>
      <c r="E302" t="s">
        <v>84</v>
      </c>
      <c r="F302" t="s">
        <v>115</v>
      </c>
      <c r="G302" t="s">
        <v>86</v>
      </c>
      <c r="H302" t="s">
        <v>87</v>
      </c>
      <c r="I302" s="17">
        <v>2</v>
      </c>
      <c r="J302" s="16">
        <v>0</v>
      </c>
      <c r="K302" t="s">
        <v>112</v>
      </c>
      <c r="L302" t="s">
        <v>89</v>
      </c>
      <c r="M302" s="17">
        <v>4</v>
      </c>
      <c r="N302" t="str" cm="1">
        <f t="array" ref="N302">_xlfn.XLOOKUP(RawSalesTable5[[#This Row],[Product_Code]],ProductLookupTable[[#All],[Product_Code]],ProductLookupTable[[#All],[Product_Name]],"NOT FOUND")</f>
        <v>USB-C Hub</v>
      </c>
      <c r="O302" t="str" cm="1">
        <f t="array" ref="O302">_xlfn.XLOOKUP(RawSalesTable5[[#This Row],[Product_Code]],ProductLookupTable[[#All],[Product_Code]],ProductLookupTable[[#All],[Category]],"NOT FOUND")</f>
        <v>Accessories</v>
      </c>
      <c r="P302" cm="1">
        <f t="array" ref="P302">_xlfn.XLOOKUP(RawSalesTable5[[#This Row],[Product_Code]],ProductLookupTable[[#All],[Product_Code]],ProductLookupTable[[#All],[Unit_Price]],"NOT FOUND")</f>
        <v>1599</v>
      </c>
      <c r="Q302" t="str">
        <f>IF(COUNTIF(ProductLookupTable[Product_Code],RawSalesTable5[[#This Row],[Product_Code]])=0,"Missing Product","OK")</f>
        <v>OK</v>
      </c>
      <c r="R302" cm="1">
        <f t="array" ref="R302">_xlfn.XLOOKUP(RawSalesTable5[[#This Row],[Product_Code]],ProductLookupTable[[#All],[Product_Code]],ProductLookupTable[[#All],[Unit_Cost]],"NOT FOUND")</f>
        <v>870</v>
      </c>
      <c r="S302">
        <f>IFERROR(RawSalesTable5[[#This Row],[Quantity]]*RawSalesTable5[[#This Row],[Unit_Price]],"NOT FOUND")</f>
        <v>3198</v>
      </c>
      <c r="T302">
        <f>IFERROR(RawSalesTable5[[#This Row],[Gross_Revenue]]*RawSalesTable5[[#This Row],[Discount_Pct]],"NOT FOUND")</f>
        <v>0</v>
      </c>
      <c r="U302">
        <f>IFERROR(RawSalesTable5[[#This Row],[Gross_Revenue]]-RawSalesTable5[[#This Row],[Discount_Value]],"NOT FOUND")</f>
        <v>3198</v>
      </c>
      <c r="V302">
        <f>IFERROR(RawSalesTable5[[#This Row],[Quantity]]*RawSalesTable5[[#This Row],[Unit_Cost]],"NOT FOUND")</f>
        <v>1740</v>
      </c>
      <c r="W302">
        <f>IFERROR(RawSalesTable5[[#This Row],[Net_Revenue]]-RawSalesTable5[[#This Row],[Cost]],"NOT FOUND")</f>
        <v>1458</v>
      </c>
      <c r="X302" s="27">
        <f>IF(RawSalesTable5[[#This Row],[Lookup_Status]]="Missing Product","",IFERROR(RawSalesTable5[[#This Row],[Profit]]/RawSalesTable5[[#This Row],[Net_Revenue]],0))</f>
        <v>0.45590994371482174</v>
      </c>
      <c r="Y302">
        <f>RawSalesTable5[[#This Row],[Ship_Date]]-RawSalesTable5[[#This Row],[Order_Date]]</f>
        <v>1</v>
      </c>
      <c r="Z302" s="28">
        <f>DATE(YEAR(RawSalesTable5[[#This Row],[Order_Date]]),MONTH(RawSalesTable5[[#This Row],[Order_Date]]),1)</f>
        <v>45717</v>
      </c>
      <c r="AA302" t="str" cm="1">
        <f t="array" ref="AA302">IF(RawSalesTable5[[#This Row],[Lookup_Status]]="Missing Product","",_xlfn.IFS(RawSalesTable5[[#This Row],[Net_Revenue]]&gt;=20000,"High",RawSalesTable5[[#This Row],[Net_Revenue]]&gt;=10000,"Medium",TRUE,"Low"))</f>
        <v>Low</v>
      </c>
    </row>
    <row r="303" spans="1:27">
      <c r="A303" t="s">
        <v>435</v>
      </c>
      <c r="B303" s="15">
        <v>45665</v>
      </c>
      <c r="C303" s="15">
        <v>45666</v>
      </c>
      <c r="D303" t="s">
        <v>114</v>
      </c>
      <c r="E303" t="s">
        <v>92</v>
      </c>
      <c r="F303" t="s">
        <v>149</v>
      </c>
      <c r="G303" t="s">
        <v>94</v>
      </c>
      <c r="H303" t="s">
        <v>87</v>
      </c>
      <c r="I303" s="17">
        <v>4</v>
      </c>
      <c r="J303" s="16">
        <v>0</v>
      </c>
      <c r="K303" t="s">
        <v>112</v>
      </c>
      <c r="L303" t="s">
        <v>89</v>
      </c>
      <c r="M303" s="17">
        <v>4</v>
      </c>
      <c r="N303" t="str" cm="1">
        <f t="array" ref="N303">_xlfn.XLOOKUP(RawSalesTable5[[#This Row],[Product_Code]],ProductLookupTable[[#All],[Product_Code]],ProductLookupTable[[#All],[Product_Name]],"NOT FOUND")</f>
        <v>Portable HDD 2TB</v>
      </c>
      <c r="O303" t="str" cm="1">
        <f t="array" ref="O303">_xlfn.XLOOKUP(RawSalesTable5[[#This Row],[Product_Code]],ProductLookupTable[[#All],[Product_Code]],ProductLookupTable[[#All],[Category]],"NOT FOUND")</f>
        <v>Storage</v>
      </c>
      <c r="P303" cm="1">
        <f t="array" ref="P303">_xlfn.XLOOKUP(RawSalesTable5[[#This Row],[Product_Code]],ProductLookupTable[[#All],[Product_Code]],ProductLookupTable[[#All],[Unit_Price]],"NOT FOUND")</f>
        <v>5899</v>
      </c>
      <c r="Q303" t="str">
        <f>IF(COUNTIF(ProductLookupTable[Product_Code],RawSalesTable5[[#This Row],[Product_Code]])=0,"Missing Product","OK")</f>
        <v>OK</v>
      </c>
      <c r="R303" cm="1">
        <f t="array" ref="R303">_xlfn.XLOOKUP(RawSalesTable5[[#This Row],[Product_Code]],ProductLookupTable[[#All],[Product_Code]],ProductLookupTable[[#All],[Unit_Cost]],"NOT FOUND")</f>
        <v>4100</v>
      </c>
      <c r="S303">
        <f>IFERROR(RawSalesTable5[[#This Row],[Quantity]]*RawSalesTable5[[#This Row],[Unit_Price]],"NOT FOUND")</f>
        <v>23596</v>
      </c>
      <c r="T303">
        <f>IFERROR(RawSalesTable5[[#This Row],[Gross_Revenue]]*RawSalesTable5[[#This Row],[Discount_Pct]],"NOT FOUND")</f>
        <v>0</v>
      </c>
      <c r="U303">
        <f>IFERROR(RawSalesTable5[[#This Row],[Gross_Revenue]]-RawSalesTable5[[#This Row],[Discount_Value]],"NOT FOUND")</f>
        <v>23596</v>
      </c>
      <c r="V303">
        <f>IFERROR(RawSalesTable5[[#This Row],[Quantity]]*RawSalesTable5[[#This Row],[Unit_Cost]],"NOT FOUND")</f>
        <v>16400</v>
      </c>
      <c r="W303">
        <f>IFERROR(RawSalesTable5[[#This Row],[Net_Revenue]]-RawSalesTable5[[#This Row],[Cost]],"NOT FOUND")</f>
        <v>7196</v>
      </c>
      <c r="X303" s="27">
        <f>IF(RawSalesTable5[[#This Row],[Lookup_Status]]="Missing Product","",IFERROR(RawSalesTable5[[#This Row],[Profit]]/RawSalesTable5[[#This Row],[Net_Revenue]],0))</f>
        <v>0.30496694354975418</v>
      </c>
      <c r="Y303">
        <f>RawSalesTable5[[#This Row],[Ship_Date]]-RawSalesTable5[[#This Row],[Order_Date]]</f>
        <v>1</v>
      </c>
      <c r="Z303" s="28">
        <f>DATE(YEAR(RawSalesTable5[[#This Row],[Order_Date]]),MONTH(RawSalesTable5[[#This Row],[Order_Date]]),1)</f>
        <v>45658</v>
      </c>
      <c r="AA303" t="str" cm="1">
        <f t="array" ref="AA303">IF(RawSalesTable5[[#This Row],[Lookup_Status]]="Missing Product","",_xlfn.IFS(RawSalesTable5[[#This Row],[Net_Revenue]]&gt;=20000,"High",RawSalesTable5[[#This Row],[Net_Revenue]]&gt;=10000,"Medium",TRUE,"Low"))</f>
        <v>High</v>
      </c>
    </row>
    <row r="304" spans="1:27">
      <c r="A304" t="s">
        <v>436</v>
      </c>
      <c r="B304" s="15">
        <v>45899</v>
      </c>
      <c r="C304" s="15">
        <v>45901</v>
      </c>
      <c r="D304" t="s">
        <v>157</v>
      </c>
      <c r="E304" t="s">
        <v>98</v>
      </c>
      <c r="F304" t="s">
        <v>102</v>
      </c>
      <c r="G304" t="s">
        <v>125</v>
      </c>
      <c r="H304" t="s">
        <v>87</v>
      </c>
      <c r="I304" s="17">
        <v>2</v>
      </c>
      <c r="J304" s="16">
        <v>0</v>
      </c>
      <c r="K304" t="s">
        <v>112</v>
      </c>
      <c r="L304" t="s">
        <v>89</v>
      </c>
      <c r="M304" s="17">
        <v>4</v>
      </c>
      <c r="N304" t="str" cm="1">
        <f t="array" ref="N304">_xlfn.XLOOKUP(RawSalesTable5[[#This Row],[Product_Code]],ProductLookupTable[[#All],[Product_Code]],ProductLookupTable[[#All],[Product_Name]],"NOT FOUND")</f>
        <v>SSD 1TB</v>
      </c>
      <c r="O304" t="str" cm="1">
        <f t="array" ref="O304">_xlfn.XLOOKUP(RawSalesTable5[[#This Row],[Product_Code]],ProductLookupTable[[#All],[Product_Code]],ProductLookupTable[[#All],[Category]],"NOT FOUND")</f>
        <v>Storage</v>
      </c>
      <c r="P304" cm="1">
        <f t="array" ref="P304">_xlfn.XLOOKUP(RawSalesTable5[[#This Row],[Product_Code]],ProductLookupTable[[#All],[Product_Code]],ProductLookupTable[[#All],[Unit_Price]],"NOT FOUND")</f>
        <v>6999</v>
      </c>
      <c r="Q304" t="str">
        <f>IF(COUNTIF(ProductLookupTable[Product_Code],RawSalesTable5[[#This Row],[Product_Code]])=0,"Missing Product","OK")</f>
        <v>OK</v>
      </c>
      <c r="R304" cm="1">
        <f t="array" ref="R304">_xlfn.XLOOKUP(RawSalesTable5[[#This Row],[Product_Code]],ProductLookupTable[[#All],[Product_Code]],ProductLookupTable[[#All],[Unit_Cost]],"NOT FOUND")</f>
        <v>4900</v>
      </c>
      <c r="S304">
        <f>IFERROR(RawSalesTable5[[#This Row],[Quantity]]*RawSalesTable5[[#This Row],[Unit_Price]],"NOT FOUND")</f>
        <v>13998</v>
      </c>
      <c r="T304">
        <f>IFERROR(RawSalesTable5[[#This Row],[Gross_Revenue]]*RawSalesTable5[[#This Row],[Discount_Pct]],"NOT FOUND")</f>
        <v>0</v>
      </c>
      <c r="U304">
        <f>IFERROR(RawSalesTable5[[#This Row],[Gross_Revenue]]-RawSalesTable5[[#This Row],[Discount_Value]],"NOT FOUND")</f>
        <v>13998</v>
      </c>
      <c r="V304">
        <f>IFERROR(RawSalesTable5[[#This Row],[Quantity]]*RawSalesTable5[[#This Row],[Unit_Cost]],"NOT FOUND")</f>
        <v>9800</v>
      </c>
      <c r="W304">
        <f>IFERROR(RawSalesTable5[[#This Row],[Net_Revenue]]-RawSalesTable5[[#This Row],[Cost]],"NOT FOUND")</f>
        <v>4198</v>
      </c>
      <c r="X304" s="27">
        <f>IF(RawSalesTable5[[#This Row],[Lookup_Status]]="Missing Product","",IFERROR(RawSalesTable5[[#This Row],[Profit]]/RawSalesTable5[[#This Row],[Net_Revenue]],0))</f>
        <v>0.29989998571224463</v>
      </c>
      <c r="Y304">
        <f>RawSalesTable5[[#This Row],[Ship_Date]]-RawSalesTable5[[#This Row],[Order_Date]]</f>
        <v>2</v>
      </c>
      <c r="Z304" s="28">
        <f>DATE(YEAR(RawSalesTable5[[#This Row],[Order_Date]]),MONTH(RawSalesTable5[[#This Row],[Order_Date]]),1)</f>
        <v>45870</v>
      </c>
      <c r="AA304" t="str" cm="1">
        <f t="array" ref="AA304">IF(RawSalesTable5[[#This Row],[Lookup_Status]]="Missing Product","",_xlfn.IFS(RawSalesTable5[[#This Row],[Net_Revenue]]&gt;=20000,"High",RawSalesTable5[[#This Row],[Net_Revenue]]&gt;=10000,"Medium",TRUE,"Low"))</f>
        <v>Medium</v>
      </c>
    </row>
    <row r="305" spans="1:27">
      <c r="A305" t="s">
        <v>437</v>
      </c>
      <c r="B305" s="15">
        <v>45771</v>
      </c>
      <c r="C305" s="15">
        <v>45773</v>
      </c>
      <c r="D305" t="s">
        <v>212</v>
      </c>
      <c r="E305" t="s">
        <v>101</v>
      </c>
      <c r="F305" t="s">
        <v>93</v>
      </c>
      <c r="G305" t="s">
        <v>125</v>
      </c>
      <c r="H305" t="s">
        <v>86</v>
      </c>
      <c r="I305" s="17">
        <v>4</v>
      </c>
      <c r="J305" s="16">
        <v>0.15</v>
      </c>
      <c r="K305" t="s">
        <v>95</v>
      </c>
      <c r="L305" t="s">
        <v>89</v>
      </c>
      <c r="M305" s="17">
        <v>5</v>
      </c>
      <c r="N305" t="str" cm="1">
        <f t="array" ref="N305">_xlfn.XLOOKUP(RawSalesTable5[[#This Row],[Product_Code]],ProductLookupTable[[#All],[Product_Code]],ProductLookupTable[[#All],[Product_Name]],"NOT FOUND")</f>
        <v>Wireless Headset</v>
      </c>
      <c r="O305" t="str" cm="1">
        <f t="array" ref="O305">_xlfn.XLOOKUP(RawSalesTable5[[#This Row],[Product_Code]],ProductLookupTable[[#All],[Product_Code]],ProductLookupTable[[#All],[Category]],"NOT FOUND")</f>
        <v>Audio</v>
      </c>
      <c r="P305" cm="1">
        <f t="array" ref="P305">_xlfn.XLOOKUP(RawSalesTable5[[#This Row],[Product_Code]],ProductLookupTable[[#All],[Product_Code]],ProductLookupTable[[#All],[Unit_Price]],"NOT FOUND")</f>
        <v>3499</v>
      </c>
      <c r="Q305" t="str">
        <f>IF(COUNTIF(ProductLookupTable[Product_Code],RawSalesTable5[[#This Row],[Product_Code]])=0,"Missing Product","OK")</f>
        <v>OK</v>
      </c>
      <c r="R305" cm="1">
        <f t="array" ref="R305">_xlfn.XLOOKUP(RawSalesTable5[[#This Row],[Product_Code]],ProductLookupTable[[#All],[Product_Code]],ProductLookupTable[[#All],[Unit_Cost]],"NOT FOUND")</f>
        <v>2100</v>
      </c>
      <c r="S305">
        <f>IFERROR(RawSalesTable5[[#This Row],[Quantity]]*RawSalesTable5[[#This Row],[Unit_Price]],"NOT FOUND")</f>
        <v>13996</v>
      </c>
      <c r="T305">
        <f>IFERROR(RawSalesTable5[[#This Row],[Gross_Revenue]]*RawSalesTable5[[#This Row],[Discount_Pct]],"NOT FOUND")</f>
        <v>2099.4</v>
      </c>
      <c r="U305">
        <f>IFERROR(RawSalesTable5[[#This Row],[Gross_Revenue]]-RawSalesTable5[[#This Row],[Discount_Value]],"NOT FOUND")</f>
        <v>11896.6</v>
      </c>
      <c r="V305">
        <f>IFERROR(RawSalesTable5[[#This Row],[Quantity]]*RawSalesTable5[[#This Row],[Unit_Cost]],"NOT FOUND")</f>
        <v>8400</v>
      </c>
      <c r="W305">
        <f>IFERROR(RawSalesTable5[[#This Row],[Net_Revenue]]-RawSalesTable5[[#This Row],[Cost]],"NOT FOUND")</f>
        <v>3496.6000000000004</v>
      </c>
      <c r="X305" s="27">
        <f>IF(RawSalesTable5[[#This Row],[Lookup_Status]]="Missing Product","",IFERROR(RawSalesTable5[[#This Row],[Profit]]/RawSalesTable5[[#This Row],[Net_Revenue]],0))</f>
        <v>0.29391590874703699</v>
      </c>
      <c r="Y305">
        <f>RawSalesTable5[[#This Row],[Ship_Date]]-RawSalesTable5[[#This Row],[Order_Date]]</f>
        <v>2</v>
      </c>
      <c r="Z305" s="28">
        <f>DATE(YEAR(RawSalesTable5[[#This Row],[Order_Date]]),MONTH(RawSalesTable5[[#This Row],[Order_Date]]),1)</f>
        <v>45748</v>
      </c>
      <c r="AA305" t="str" cm="1">
        <f t="array" ref="AA305">IF(RawSalesTable5[[#This Row],[Lookup_Status]]="Missing Product","",_xlfn.IFS(RawSalesTable5[[#This Row],[Net_Revenue]]&gt;=20000,"High",RawSalesTable5[[#This Row],[Net_Revenue]]&gt;=10000,"Medium",TRUE,"Low"))</f>
        <v>Medium</v>
      </c>
    </row>
    <row r="306" spans="1:27">
      <c r="A306" t="s">
        <v>438</v>
      </c>
      <c r="B306" s="15">
        <v>45820</v>
      </c>
      <c r="C306" s="15">
        <v>45827</v>
      </c>
      <c r="D306" t="s">
        <v>123</v>
      </c>
      <c r="E306" t="s">
        <v>106</v>
      </c>
      <c r="F306" t="s">
        <v>121</v>
      </c>
      <c r="G306" t="s">
        <v>86</v>
      </c>
      <c r="H306" t="s">
        <v>86</v>
      </c>
      <c r="I306" s="17">
        <v>2</v>
      </c>
      <c r="J306" s="16">
        <v>0.2</v>
      </c>
      <c r="K306" t="s">
        <v>112</v>
      </c>
      <c r="L306" t="s">
        <v>89</v>
      </c>
      <c r="M306" s="17">
        <v>5</v>
      </c>
      <c r="N306" t="str" cm="1">
        <f t="array" ref="N306">_xlfn.XLOOKUP(RawSalesTable5[[#This Row],[Product_Code]],ProductLookupTable[[#All],[Product_Code]],ProductLookupTable[[#All],[Product_Name]],"NOT FOUND")</f>
        <v>HD Webcam</v>
      </c>
      <c r="O306" t="str" cm="1">
        <f t="array" ref="O306">_xlfn.XLOOKUP(RawSalesTable5[[#This Row],[Product_Code]],ProductLookupTable[[#All],[Product_Code]],ProductLookupTable[[#All],[Category]],"NOT FOUND")</f>
        <v>Accessories</v>
      </c>
      <c r="P306" cm="1">
        <f t="array" ref="P306">_xlfn.XLOOKUP(RawSalesTable5[[#This Row],[Product_Code]],ProductLookupTable[[#All],[Product_Code]],ProductLookupTable[[#All],[Unit_Price]],"NOT FOUND")</f>
        <v>2899</v>
      </c>
      <c r="Q306" t="str">
        <f>IF(COUNTIF(ProductLookupTable[Product_Code],RawSalesTable5[[#This Row],[Product_Code]])=0,"Missing Product","OK")</f>
        <v>OK</v>
      </c>
      <c r="R306" cm="1">
        <f t="array" ref="R306">_xlfn.XLOOKUP(RawSalesTable5[[#This Row],[Product_Code]],ProductLookupTable[[#All],[Product_Code]],ProductLookupTable[[#All],[Unit_Cost]],"NOT FOUND")</f>
        <v>1700</v>
      </c>
      <c r="S306">
        <f>IFERROR(RawSalesTable5[[#This Row],[Quantity]]*RawSalesTable5[[#This Row],[Unit_Price]],"NOT FOUND")</f>
        <v>5798</v>
      </c>
      <c r="T306">
        <f>IFERROR(RawSalesTable5[[#This Row],[Gross_Revenue]]*RawSalesTable5[[#This Row],[Discount_Pct]],"NOT FOUND")</f>
        <v>1159.6000000000001</v>
      </c>
      <c r="U306">
        <f>IFERROR(RawSalesTable5[[#This Row],[Gross_Revenue]]-RawSalesTable5[[#This Row],[Discount_Value]],"NOT FOUND")</f>
        <v>4638.3999999999996</v>
      </c>
      <c r="V306">
        <f>IFERROR(RawSalesTable5[[#This Row],[Quantity]]*RawSalesTable5[[#This Row],[Unit_Cost]],"NOT FOUND")</f>
        <v>3400</v>
      </c>
      <c r="W306">
        <f>IFERROR(RawSalesTable5[[#This Row],[Net_Revenue]]-RawSalesTable5[[#This Row],[Cost]],"NOT FOUND")</f>
        <v>1238.3999999999996</v>
      </c>
      <c r="X306" s="27">
        <f>IF(RawSalesTable5[[#This Row],[Lookup_Status]]="Missing Product","",IFERROR(RawSalesTable5[[#This Row],[Profit]]/RawSalesTable5[[#This Row],[Net_Revenue]],0))</f>
        <v>0.26698861676440144</v>
      </c>
      <c r="Y306">
        <f>RawSalesTable5[[#This Row],[Ship_Date]]-RawSalesTable5[[#This Row],[Order_Date]]</f>
        <v>7</v>
      </c>
      <c r="Z306" s="28">
        <f>DATE(YEAR(RawSalesTable5[[#This Row],[Order_Date]]),MONTH(RawSalesTable5[[#This Row],[Order_Date]]),1)</f>
        <v>45809</v>
      </c>
      <c r="AA306" t="str" cm="1">
        <f t="array" ref="AA306">IF(RawSalesTable5[[#This Row],[Lookup_Status]]="Missing Product","",_xlfn.IFS(RawSalesTable5[[#This Row],[Net_Revenue]]&gt;=20000,"High",RawSalesTable5[[#This Row],[Net_Revenue]]&gt;=10000,"Medium",TRUE,"Low"))</f>
        <v>Low</v>
      </c>
    </row>
    <row r="307" spans="1:27">
      <c r="A307" t="s">
        <v>439</v>
      </c>
      <c r="B307" s="15">
        <v>45864</v>
      </c>
      <c r="C307" s="15">
        <v>45866</v>
      </c>
      <c r="D307" t="s">
        <v>83</v>
      </c>
      <c r="E307" t="s">
        <v>111</v>
      </c>
      <c r="F307" t="s">
        <v>138</v>
      </c>
      <c r="G307" t="s">
        <v>86</v>
      </c>
      <c r="H307" t="s">
        <v>86</v>
      </c>
      <c r="I307" s="17">
        <v>1</v>
      </c>
      <c r="J307" s="16">
        <v>0</v>
      </c>
      <c r="K307" t="s">
        <v>88</v>
      </c>
      <c r="L307" t="s">
        <v>89</v>
      </c>
      <c r="M307" s="17">
        <v>5</v>
      </c>
      <c r="N307" t="str" cm="1">
        <f t="array" ref="N307">_xlfn.XLOOKUP(RawSalesTable5[[#This Row],[Product_Code]],ProductLookupTable[[#All],[Product_Code]],ProductLookupTable[[#All],[Product_Name]],"NOT FOUND")</f>
        <v>24-inch Monitor</v>
      </c>
      <c r="O307" t="str" cm="1">
        <f t="array" ref="O307">_xlfn.XLOOKUP(RawSalesTable5[[#This Row],[Product_Code]],ProductLookupTable[[#All],[Product_Code]],ProductLookupTable[[#All],[Category]],"NOT FOUND")</f>
        <v>Displays</v>
      </c>
      <c r="P307" cm="1">
        <f t="array" ref="P307">_xlfn.XLOOKUP(RawSalesTable5[[#This Row],[Product_Code]],ProductLookupTable[[#All],[Product_Code]],ProductLookupTable[[#All],[Unit_Price]],"NOT FOUND")</f>
        <v>12999</v>
      </c>
      <c r="Q307" t="str">
        <f>IF(COUNTIF(ProductLookupTable[Product_Code],RawSalesTable5[[#This Row],[Product_Code]])=0,"Missing Product","OK")</f>
        <v>OK</v>
      </c>
      <c r="R307" cm="1">
        <f t="array" ref="R307">_xlfn.XLOOKUP(RawSalesTable5[[#This Row],[Product_Code]],ProductLookupTable[[#All],[Product_Code]],ProductLookupTable[[#All],[Unit_Cost]],"NOT FOUND")</f>
        <v>9100</v>
      </c>
      <c r="S307">
        <f>IFERROR(RawSalesTable5[[#This Row],[Quantity]]*RawSalesTable5[[#This Row],[Unit_Price]],"NOT FOUND")</f>
        <v>12999</v>
      </c>
      <c r="T307">
        <f>IFERROR(RawSalesTable5[[#This Row],[Gross_Revenue]]*RawSalesTable5[[#This Row],[Discount_Pct]],"NOT FOUND")</f>
        <v>0</v>
      </c>
      <c r="U307">
        <f>IFERROR(RawSalesTable5[[#This Row],[Gross_Revenue]]-RawSalesTable5[[#This Row],[Discount_Value]],"NOT FOUND")</f>
        <v>12999</v>
      </c>
      <c r="V307">
        <f>IFERROR(RawSalesTable5[[#This Row],[Quantity]]*RawSalesTable5[[#This Row],[Unit_Cost]],"NOT FOUND")</f>
        <v>9100</v>
      </c>
      <c r="W307">
        <f>IFERROR(RawSalesTable5[[#This Row],[Net_Revenue]]-RawSalesTable5[[#This Row],[Cost]],"NOT FOUND")</f>
        <v>3899</v>
      </c>
      <c r="X307" s="27">
        <f>IF(RawSalesTable5[[#This Row],[Lookup_Status]]="Missing Product","",IFERROR(RawSalesTable5[[#This Row],[Profit]]/RawSalesTable5[[#This Row],[Net_Revenue]],0))</f>
        <v>0.29994614970382338</v>
      </c>
      <c r="Y307">
        <f>RawSalesTable5[[#This Row],[Ship_Date]]-RawSalesTable5[[#This Row],[Order_Date]]</f>
        <v>2</v>
      </c>
      <c r="Z307" s="28">
        <f>DATE(YEAR(RawSalesTable5[[#This Row],[Order_Date]]),MONTH(RawSalesTable5[[#This Row],[Order_Date]]),1)</f>
        <v>45839</v>
      </c>
      <c r="AA307" t="str" cm="1">
        <f t="array" ref="AA307">IF(RawSalesTable5[[#This Row],[Lookup_Status]]="Missing Product","",_xlfn.IFS(RawSalesTable5[[#This Row],[Net_Revenue]]&gt;=20000,"High",RawSalesTable5[[#This Row],[Net_Revenue]]&gt;=10000,"Medium",TRUE,"Low"))</f>
        <v>Medium</v>
      </c>
    </row>
    <row r="308" spans="1:27">
      <c r="A308" t="s">
        <v>440</v>
      </c>
      <c r="B308" s="15">
        <v>45882</v>
      </c>
      <c r="C308" s="15">
        <v>45883</v>
      </c>
      <c r="D308" t="s">
        <v>114</v>
      </c>
      <c r="E308" t="s">
        <v>84</v>
      </c>
      <c r="F308" t="s">
        <v>115</v>
      </c>
      <c r="G308" t="s">
        <v>86</v>
      </c>
      <c r="H308" t="s">
        <v>87</v>
      </c>
      <c r="I308" s="17">
        <v>4</v>
      </c>
      <c r="J308" s="16">
        <v>0</v>
      </c>
      <c r="K308" t="s">
        <v>112</v>
      </c>
      <c r="L308" t="s">
        <v>89</v>
      </c>
      <c r="M308" s="17">
        <v>4</v>
      </c>
      <c r="N308" t="str" cm="1">
        <f t="array" ref="N308">_xlfn.XLOOKUP(RawSalesTable5[[#This Row],[Product_Code]],ProductLookupTable[[#All],[Product_Code]],ProductLookupTable[[#All],[Product_Name]],"NOT FOUND")</f>
        <v>USB-C Hub</v>
      </c>
      <c r="O308" t="str" cm="1">
        <f t="array" ref="O308">_xlfn.XLOOKUP(RawSalesTable5[[#This Row],[Product_Code]],ProductLookupTable[[#All],[Product_Code]],ProductLookupTable[[#All],[Category]],"NOT FOUND")</f>
        <v>Accessories</v>
      </c>
      <c r="P308" cm="1">
        <f t="array" ref="P308">_xlfn.XLOOKUP(RawSalesTable5[[#This Row],[Product_Code]],ProductLookupTable[[#All],[Product_Code]],ProductLookupTable[[#All],[Unit_Price]],"NOT FOUND")</f>
        <v>1599</v>
      </c>
      <c r="Q308" t="str">
        <f>IF(COUNTIF(ProductLookupTable[Product_Code],RawSalesTable5[[#This Row],[Product_Code]])=0,"Missing Product","OK")</f>
        <v>OK</v>
      </c>
      <c r="R308" cm="1">
        <f t="array" ref="R308">_xlfn.XLOOKUP(RawSalesTable5[[#This Row],[Product_Code]],ProductLookupTable[[#All],[Product_Code]],ProductLookupTable[[#All],[Unit_Cost]],"NOT FOUND")</f>
        <v>870</v>
      </c>
      <c r="S308">
        <f>IFERROR(RawSalesTable5[[#This Row],[Quantity]]*RawSalesTable5[[#This Row],[Unit_Price]],"NOT FOUND")</f>
        <v>6396</v>
      </c>
      <c r="T308">
        <f>IFERROR(RawSalesTable5[[#This Row],[Gross_Revenue]]*RawSalesTable5[[#This Row],[Discount_Pct]],"NOT FOUND")</f>
        <v>0</v>
      </c>
      <c r="U308">
        <f>IFERROR(RawSalesTable5[[#This Row],[Gross_Revenue]]-RawSalesTable5[[#This Row],[Discount_Value]],"NOT FOUND")</f>
        <v>6396</v>
      </c>
      <c r="V308">
        <f>IFERROR(RawSalesTable5[[#This Row],[Quantity]]*RawSalesTable5[[#This Row],[Unit_Cost]],"NOT FOUND")</f>
        <v>3480</v>
      </c>
      <c r="W308">
        <f>IFERROR(RawSalesTable5[[#This Row],[Net_Revenue]]-RawSalesTable5[[#This Row],[Cost]],"NOT FOUND")</f>
        <v>2916</v>
      </c>
      <c r="X308" s="27">
        <f>IF(RawSalesTable5[[#This Row],[Lookup_Status]]="Missing Product","",IFERROR(RawSalesTable5[[#This Row],[Profit]]/RawSalesTable5[[#This Row],[Net_Revenue]],0))</f>
        <v>0.45590994371482174</v>
      </c>
      <c r="Y308">
        <f>RawSalesTable5[[#This Row],[Ship_Date]]-RawSalesTable5[[#This Row],[Order_Date]]</f>
        <v>1</v>
      </c>
      <c r="Z308" s="28">
        <f>DATE(YEAR(RawSalesTable5[[#This Row],[Order_Date]]),MONTH(RawSalesTable5[[#This Row],[Order_Date]]),1)</f>
        <v>45870</v>
      </c>
      <c r="AA308" t="str" cm="1">
        <f t="array" ref="AA308">IF(RawSalesTable5[[#This Row],[Lookup_Status]]="Missing Product","",_xlfn.IFS(RawSalesTable5[[#This Row],[Net_Revenue]]&gt;=20000,"High",RawSalesTable5[[#This Row],[Net_Revenue]]&gt;=10000,"Medium",TRUE,"Low"))</f>
        <v>Low</v>
      </c>
    </row>
    <row r="309" spans="1:27">
      <c r="A309" t="s">
        <v>441</v>
      </c>
      <c r="B309" s="15">
        <v>45861</v>
      </c>
      <c r="C309" s="15">
        <v>45867</v>
      </c>
      <c r="D309" t="s">
        <v>157</v>
      </c>
      <c r="E309" t="s">
        <v>92</v>
      </c>
      <c r="F309" t="s">
        <v>107</v>
      </c>
      <c r="G309" t="s">
        <v>94</v>
      </c>
      <c r="H309" t="s">
        <v>103</v>
      </c>
      <c r="I309" s="17">
        <v>5</v>
      </c>
      <c r="J309" s="16">
        <v>0.2</v>
      </c>
      <c r="K309" t="s">
        <v>88</v>
      </c>
      <c r="L309" t="s">
        <v>126</v>
      </c>
      <c r="M309" s="17">
        <v>1</v>
      </c>
      <c r="N309" t="str" cm="1">
        <f t="array" ref="N309">_xlfn.XLOOKUP(RawSalesTable5[[#This Row],[Product_Code]],ProductLookupTable[[#All],[Product_Code]],ProductLookupTable[[#All],[Product_Name]],"NOT FOUND")</f>
        <v>Bluetooth Speaker</v>
      </c>
      <c r="O309" t="str" cm="1">
        <f t="array" ref="O309">_xlfn.XLOOKUP(RawSalesTable5[[#This Row],[Product_Code]],ProductLookupTable[[#All],[Product_Code]],ProductLookupTable[[#All],[Category]],"NOT FOUND")</f>
        <v>Audio</v>
      </c>
      <c r="P309" cm="1">
        <f t="array" ref="P309">_xlfn.XLOOKUP(RawSalesTable5[[#This Row],[Product_Code]],ProductLookupTable[[#All],[Product_Code]],ProductLookupTable[[#All],[Unit_Price]],"NOT FOUND")</f>
        <v>2799</v>
      </c>
      <c r="Q309" t="str">
        <f>IF(COUNTIF(ProductLookupTable[Product_Code],RawSalesTable5[[#This Row],[Product_Code]])=0,"Missing Product","OK")</f>
        <v>OK</v>
      </c>
      <c r="R309" cm="1">
        <f t="array" ref="R309">_xlfn.XLOOKUP(RawSalesTable5[[#This Row],[Product_Code]],ProductLookupTable[[#All],[Product_Code]],ProductLookupTable[[#All],[Unit_Cost]],"NOT FOUND")</f>
        <v>1650</v>
      </c>
      <c r="S309">
        <f>IFERROR(RawSalesTable5[[#This Row],[Quantity]]*RawSalesTable5[[#This Row],[Unit_Price]],"NOT FOUND")</f>
        <v>13995</v>
      </c>
      <c r="T309">
        <f>IFERROR(RawSalesTable5[[#This Row],[Gross_Revenue]]*RawSalesTable5[[#This Row],[Discount_Pct]],"NOT FOUND")</f>
        <v>2799</v>
      </c>
      <c r="U309">
        <f>IFERROR(RawSalesTable5[[#This Row],[Gross_Revenue]]-RawSalesTable5[[#This Row],[Discount_Value]],"NOT FOUND")</f>
        <v>11196</v>
      </c>
      <c r="V309">
        <f>IFERROR(RawSalesTable5[[#This Row],[Quantity]]*RawSalesTable5[[#This Row],[Unit_Cost]],"NOT FOUND")</f>
        <v>8250</v>
      </c>
      <c r="W309">
        <f>IFERROR(RawSalesTable5[[#This Row],[Net_Revenue]]-RawSalesTable5[[#This Row],[Cost]],"NOT FOUND")</f>
        <v>2946</v>
      </c>
      <c r="X309" s="27">
        <f>IF(RawSalesTable5[[#This Row],[Lookup_Status]]="Missing Product","",IFERROR(RawSalesTable5[[#This Row],[Profit]]/RawSalesTable5[[#This Row],[Net_Revenue]],0))</f>
        <v>0.26312968917470525</v>
      </c>
      <c r="Y309">
        <f>RawSalesTable5[[#This Row],[Ship_Date]]-RawSalesTable5[[#This Row],[Order_Date]]</f>
        <v>6</v>
      </c>
      <c r="Z309" s="28">
        <f>DATE(YEAR(RawSalesTable5[[#This Row],[Order_Date]]),MONTH(RawSalesTable5[[#This Row],[Order_Date]]),1)</f>
        <v>45839</v>
      </c>
      <c r="AA309" t="str" cm="1">
        <f t="array" ref="AA309">IF(RawSalesTable5[[#This Row],[Lookup_Status]]="Missing Product","",_xlfn.IFS(RawSalesTable5[[#This Row],[Net_Revenue]]&gt;=20000,"High",RawSalesTable5[[#This Row],[Net_Revenue]]&gt;=10000,"Medium",TRUE,"Low"))</f>
        <v>Medium</v>
      </c>
    </row>
    <row r="310" spans="1:27">
      <c r="A310" t="s">
        <v>442</v>
      </c>
      <c r="B310" s="15">
        <v>45841</v>
      </c>
      <c r="C310" s="15">
        <v>45843</v>
      </c>
      <c r="D310" t="s">
        <v>212</v>
      </c>
      <c r="E310" t="s">
        <v>98</v>
      </c>
      <c r="F310" t="s">
        <v>93</v>
      </c>
      <c r="G310" t="s">
        <v>94</v>
      </c>
      <c r="H310" t="s">
        <v>86</v>
      </c>
      <c r="I310" s="17">
        <v>1</v>
      </c>
      <c r="J310" s="16">
        <v>0.05</v>
      </c>
      <c r="K310" t="s">
        <v>112</v>
      </c>
      <c r="L310" t="s">
        <v>89</v>
      </c>
      <c r="M310" s="17">
        <v>4</v>
      </c>
      <c r="N310" t="str" cm="1">
        <f t="array" ref="N310">_xlfn.XLOOKUP(RawSalesTable5[[#This Row],[Product_Code]],ProductLookupTable[[#All],[Product_Code]],ProductLookupTable[[#All],[Product_Name]],"NOT FOUND")</f>
        <v>Wireless Headset</v>
      </c>
      <c r="O310" t="str" cm="1">
        <f t="array" ref="O310">_xlfn.XLOOKUP(RawSalesTable5[[#This Row],[Product_Code]],ProductLookupTable[[#All],[Product_Code]],ProductLookupTable[[#All],[Category]],"NOT FOUND")</f>
        <v>Audio</v>
      </c>
      <c r="P310" cm="1">
        <f t="array" ref="P310">_xlfn.XLOOKUP(RawSalesTable5[[#This Row],[Product_Code]],ProductLookupTable[[#All],[Product_Code]],ProductLookupTable[[#All],[Unit_Price]],"NOT FOUND")</f>
        <v>3499</v>
      </c>
      <c r="Q310" t="str">
        <f>IF(COUNTIF(ProductLookupTable[Product_Code],RawSalesTable5[[#This Row],[Product_Code]])=0,"Missing Product","OK")</f>
        <v>OK</v>
      </c>
      <c r="R310" cm="1">
        <f t="array" ref="R310">_xlfn.XLOOKUP(RawSalesTable5[[#This Row],[Product_Code]],ProductLookupTable[[#All],[Product_Code]],ProductLookupTable[[#All],[Unit_Cost]],"NOT FOUND")</f>
        <v>2100</v>
      </c>
      <c r="S310">
        <f>IFERROR(RawSalesTable5[[#This Row],[Quantity]]*RawSalesTable5[[#This Row],[Unit_Price]],"NOT FOUND")</f>
        <v>3499</v>
      </c>
      <c r="T310">
        <f>IFERROR(RawSalesTable5[[#This Row],[Gross_Revenue]]*RawSalesTable5[[#This Row],[Discount_Pct]],"NOT FOUND")</f>
        <v>174.95000000000002</v>
      </c>
      <c r="U310">
        <f>IFERROR(RawSalesTable5[[#This Row],[Gross_Revenue]]-RawSalesTable5[[#This Row],[Discount_Value]],"NOT FOUND")</f>
        <v>3324.05</v>
      </c>
      <c r="V310">
        <f>IFERROR(RawSalesTable5[[#This Row],[Quantity]]*RawSalesTable5[[#This Row],[Unit_Cost]],"NOT FOUND")</f>
        <v>2100</v>
      </c>
      <c r="W310">
        <f>IFERROR(RawSalesTable5[[#This Row],[Net_Revenue]]-RawSalesTable5[[#This Row],[Cost]],"NOT FOUND")</f>
        <v>1224.0500000000002</v>
      </c>
      <c r="X310" s="27">
        <f>IF(RawSalesTable5[[#This Row],[Lookup_Status]]="Missing Product","",IFERROR(RawSalesTable5[[#This Row],[Profit]]/RawSalesTable5[[#This Row],[Net_Revenue]],0))</f>
        <v>0.36824054993155941</v>
      </c>
      <c r="Y310">
        <f>RawSalesTable5[[#This Row],[Ship_Date]]-RawSalesTable5[[#This Row],[Order_Date]]</f>
        <v>2</v>
      </c>
      <c r="Z310" s="28">
        <f>DATE(YEAR(RawSalesTable5[[#This Row],[Order_Date]]),MONTH(RawSalesTable5[[#This Row],[Order_Date]]),1)</f>
        <v>45839</v>
      </c>
      <c r="AA310" t="str" cm="1">
        <f t="array" ref="AA310">IF(RawSalesTable5[[#This Row],[Lookup_Status]]="Missing Product","",_xlfn.IFS(RawSalesTable5[[#This Row],[Net_Revenue]]&gt;=20000,"High",RawSalesTable5[[#This Row],[Net_Revenue]]&gt;=10000,"Medium",TRUE,"Low"))</f>
        <v>Low</v>
      </c>
    </row>
    <row r="311" spans="1:27">
      <c r="A311" t="s">
        <v>443</v>
      </c>
      <c r="B311" s="15">
        <v>45891</v>
      </c>
      <c r="C311" s="15">
        <v>45899</v>
      </c>
      <c r="D311" t="s">
        <v>123</v>
      </c>
      <c r="E311" t="s">
        <v>101</v>
      </c>
      <c r="F311" t="s">
        <v>147</v>
      </c>
      <c r="G311" t="s">
        <v>108</v>
      </c>
      <c r="H311" t="s">
        <v>103</v>
      </c>
      <c r="I311" s="17">
        <v>4</v>
      </c>
      <c r="J311" s="16">
        <v>0.1</v>
      </c>
      <c r="K311" t="s">
        <v>112</v>
      </c>
      <c r="L311" t="s">
        <v>89</v>
      </c>
      <c r="M311" s="17">
        <v>5</v>
      </c>
      <c r="N311" t="str" cm="1">
        <f t="array" ref="N311">_xlfn.XLOOKUP(RawSalesTable5[[#This Row],[Product_Code]],ProductLookupTable[[#All],[Product_Code]],ProductLookupTable[[#All],[Product_Name]],"NOT FOUND")</f>
        <v>LED Desk Lamp</v>
      </c>
      <c r="O311" t="str" cm="1">
        <f t="array" ref="O311">_xlfn.XLOOKUP(RawSalesTable5[[#This Row],[Product_Code]],ProductLookupTable[[#All],[Product_Code]],ProductLookupTable[[#All],[Category]],"NOT FOUND")</f>
        <v>Furniture</v>
      </c>
      <c r="P311" cm="1">
        <f t="array" ref="P311">_xlfn.XLOOKUP(RawSalesTable5[[#This Row],[Product_Code]],ProductLookupTable[[#All],[Product_Code]],ProductLookupTable[[#All],[Unit_Price]],"NOT FOUND")</f>
        <v>1999</v>
      </c>
      <c r="Q311" t="str">
        <f>IF(COUNTIF(ProductLookupTable[Product_Code],RawSalesTable5[[#This Row],[Product_Code]])=0,"Missing Product","OK")</f>
        <v>OK</v>
      </c>
      <c r="R311" cm="1">
        <f t="array" ref="R311">_xlfn.XLOOKUP(RawSalesTable5[[#This Row],[Product_Code]],ProductLookupTable[[#All],[Product_Code]],ProductLookupTable[[#All],[Unit_Cost]],"NOT FOUND")</f>
        <v>1050</v>
      </c>
      <c r="S311">
        <f>IFERROR(RawSalesTable5[[#This Row],[Quantity]]*RawSalesTable5[[#This Row],[Unit_Price]],"NOT FOUND")</f>
        <v>7996</v>
      </c>
      <c r="T311">
        <f>IFERROR(RawSalesTable5[[#This Row],[Gross_Revenue]]*RawSalesTable5[[#This Row],[Discount_Pct]],"NOT FOUND")</f>
        <v>799.6</v>
      </c>
      <c r="U311">
        <f>IFERROR(RawSalesTable5[[#This Row],[Gross_Revenue]]-RawSalesTable5[[#This Row],[Discount_Value]],"NOT FOUND")</f>
        <v>7196.4</v>
      </c>
      <c r="V311">
        <f>IFERROR(RawSalesTable5[[#This Row],[Quantity]]*RawSalesTable5[[#This Row],[Unit_Cost]],"NOT FOUND")</f>
        <v>4200</v>
      </c>
      <c r="W311">
        <f>IFERROR(RawSalesTable5[[#This Row],[Net_Revenue]]-RawSalesTable5[[#This Row],[Cost]],"NOT FOUND")</f>
        <v>2996.3999999999996</v>
      </c>
      <c r="X311" s="27">
        <f>IF(RawSalesTable5[[#This Row],[Lookup_Status]]="Missing Product","",IFERROR(RawSalesTable5[[#This Row],[Profit]]/RawSalesTable5[[#This Row],[Net_Revenue]],0))</f>
        <v>0.4163748540937135</v>
      </c>
      <c r="Y311">
        <f>RawSalesTable5[[#This Row],[Ship_Date]]-RawSalesTable5[[#This Row],[Order_Date]]</f>
        <v>8</v>
      </c>
      <c r="Z311" s="28">
        <f>DATE(YEAR(RawSalesTable5[[#This Row],[Order_Date]]),MONTH(RawSalesTable5[[#This Row],[Order_Date]]),1)</f>
        <v>45870</v>
      </c>
      <c r="AA311" t="str" cm="1">
        <f t="array" ref="AA311">IF(RawSalesTable5[[#This Row],[Lookup_Status]]="Missing Product","",_xlfn.IFS(RawSalesTable5[[#This Row],[Net_Revenue]]&gt;=20000,"High",RawSalesTable5[[#This Row],[Net_Revenue]]&gt;=10000,"Medium",TRUE,"Low"))</f>
        <v>Low</v>
      </c>
    </row>
    <row r="312" spans="1:27">
      <c r="A312" t="s">
        <v>444</v>
      </c>
      <c r="B312" s="15">
        <v>45806</v>
      </c>
      <c r="C312" s="15">
        <v>45807</v>
      </c>
      <c r="D312" t="s">
        <v>83</v>
      </c>
      <c r="E312" t="s">
        <v>106</v>
      </c>
      <c r="F312" t="s">
        <v>115</v>
      </c>
      <c r="G312" t="s">
        <v>108</v>
      </c>
      <c r="H312" t="s">
        <v>87</v>
      </c>
      <c r="I312" s="17">
        <v>4</v>
      </c>
      <c r="J312" s="16">
        <v>0.15</v>
      </c>
      <c r="K312" t="s">
        <v>112</v>
      </c>
      <c r="L312" t="s">
        <v>89</v>
      </c>
      <c r="M312" s="17">
        <v>5</v>
      </c>
      <c r="N312" t="str" cm="1">
        <f t="array" ref="N312">_xlfn.XLOOKUP(RawSalesTable5[[#This Row],[Product_Code]],ProductLookupTable[[#All],[Product_Code]],ProductLookupTable[[#All],[Product_Name]],"NOT FOUND")</f>
        <v>USB-C Hub</v>
      </c>
      <c r="O312" t="str" cm="1">
        <f t="array" ref="O312">_xlfn.XLOOKUP(RawSalesTable5[[#This Row],[Product_Code]],ProductLookupTable[[#All],[Product_Code]],ProductLookupTable[[#All],[Category]],"NOT FOUND")</f>
        <v>Accessories</v>
      </c>
      <c r="P312" cm="1">
        <f t="array" ref="P312">_xlfn.XLOOKUP(RawSalesTable5[[#This Row],[Product_Code]],ProductLookupTable[[#All],[Product_Code]],ProductLookupTable[[#All],[Unit_Price]],"NOT FOUND")</f>
        <v>1599</v>
      </c>
      <c r="Q312" t="str">
        <f>IF(COUNTIF(ProductLookupTable[Product_Code],RawSalesTable5[[#This Row],[Product_Code]])=0,"Missing Product","OK")</f>
        <v>OK</v>
      </c>
      <c r="R312" cm="1">
        <f t="array" ref="R312">_xlfn.XLOOKUP(RawSalesTable5[[#This Row],[Product_Code]],ProductLookupTable[[#All],[Product_Code]],ProductLookupTable[[#All],[Unit_Cost]],"NOT FOUND")</f>
        <v>870</v>
      </c>
      <c r="S312">
        <f>IFERROR(RawSalesTable5[[#This Row],[Quantity]]*RawSalesTable5[[#This Row],[Unit_Price]],"NOT FOUND")</f>
        <v>6396</v>
      </c>
      <c r="T312">
        <f>IFERROR(RawSalesTable5[[#This Row],[Gross_Revenue]]*RawSalesTable5[[#This Row],[Discount_Pct]],"NOT FOUND")</f>
        <v>959.4</v>
      </c>
      <c r="U312">
        <f>IFERROR(RawSalesTable5[[#This Row],[Gross_Revenue]]-RawSalesTable5[[#This Row],[Discount_Value]],"NOT FOUND")</f>
        <v>5436.6</v>
      </c>
      <c r="V312">
        <f>IFERROR(RawSalesTable5[[#This Row],[Quantity]]*RawSalesTable5[[#This Row],[Unit_Cost]],"NOT FOUND")</f>
        <v>3480</v>
      </c>
      <c r="W312">
        <f>IFERROR(RawSalesTable5[[#This Row],[Net_Revenue]]-RawSalesTable5[[#This Row],[Cost]],"NOT FOUND")</f>
        <v>1956.6000000000004</v>
      </c>
      <c r="X312" s="27">
        <f>IF(RawSalesTable5[[#This Row],[Lookup_Status]]="Missing Product","",IFERROR(RawSalesTable5[[#This Row],[Profit]]/RawSalesTable5[[#This Row],[Net_Revenue]],0))</f>
        <v>0.35989405142920211</v>
      </c>
      <c r="Y312">
        <f>RawSalesTable5[[#This Row],[Ship_Date]]-RawSalesTable5[[#This Row],[Order_Date]]</f>
        <v>1</v>
      </c>
      <c r="Z312" s="28">
        <f>DATE(YEAR(RawSalesTable5[[#This Row],[Order_Date]]),MONTH(RawSalesTable5[[#This Row],[Order_Date]]),1)</f>
        <v>45778</v>
      </c>
      <c r="AA312" t="str" cm="1">
        <f t="array" ref="AA312">IF(RawSalesTable5[[#This Row],[Lookup_Status]]="Missing Product","",_xlfn.IFS(RawSalesTable5[[#This Row],[Net_Revenue]]&gt;=20000,"High",RawSalesTable5[[#This Row],[Net_Revenue]]&gt;=10000,"Medium",TRUE,"Low"))</f>
        <v>Low</v>
      </c>
    </row>
    <row r="313" spans="1:27">
      <c r="A313" t="s">
        <v>445</v>
      </c>
      <c r="B313" s="15">
        <v>45782</v>
      </c>
      <c r="C313" s="15">
        <v>45786</v>
      </c>
      <c r="D313" t="s">
        <v>114</v>
      </c>
      <c r="E313" t="s">
        <v>111</v>
      </c>
      <c r="F313" t="s">
        <v>147</v>
      </c>
      <c r="G313" t="s">
        <v>108</v>
      </c>
      <c r="H313" t="s">
        <v>86</v>
      </c>
      <c r="I313" s="17">
        <v>5</v>
      </c>
      <c r="J313" s="16">
        <v>0.15</v>
      </c>
      <c r="K313" t="s">
        <v>112</v>
      </c>
      <c r="L313" t="s">
        <v>89</v>
      </c>
      <c r="M313" s="17">
        <v>5</v>
      </c>
      <c r="N313" t="str" cm="1">
        <f t="array" ref="N313">_xlfn.XLOOKUP(RawSalesTable5[[#This Row],[Product_Code]],ProductLookupTable[[#All],[Product_Code]],ProductLookupTable[[#All],[Product_Name]],"NOT FOUND")</f>
        <v>LED Desk Lamp</v>
      </c>
      <c r="O313" t="str" cm="1">
        <f t="array" ref="O313">_xlfn.XLOOKUP(RawSalesTable5[[#This Row],[Product_Code]],ProductLookupTable[[#All],[Product_Code]],ProductLookupTable[[#All],[Category]],"NOT FOUND")</f>
        <v>Furniture</v>
      </c>
      <c r="P313" cm="1">
        <f t="array" ref="P313">_xlfn.XLOOKUP(RawSalesTable5[[#This Row],[Product_Code]],ProductLookupTable[[#All],[Product_Code]],ProductLookupTable[[#All],[Unit_Price]],"NOT FOUND")</f>
        <v>1999</v>
      </c>
      <c r="Q313" t="str">
        <f>IF(COUNTIF(ProductLookupTable[Product_Code],RawSalesTable5[[#This Row],[Product_Code]])=0,"Missing Product","OK")</f>
        <v>OK</v>
      </c>
      <c r="R313" cm="1">
        <f t="array" ref="R313">_xlfn.XLOOKUP(RawSalesTable5[[#This Row],[Product_Code]],ProductLookupTable[[#All],[Product_Code]],ProductLookupTable[[#All],[Unit_Cost]],"NOT FOUND")</f>
        <v>1050</v>
      </c>
      <c r="S313">
        <f>IFERROR(RawSalesTable5[[#This Row],[Quantity]]*RawSalesTable5[[#This Row],[Unit_Price]],"NOT FOUND")</f>
        <v>9995</v>
      </c>
      <c r="T313">
        <f>IFERROR(RawSalesTable5[[#This Row],[Gross_Revenue]]*RawSalesTable5[[#This Row],[Discount_Pct]],"NOT FOUND")</f>
        <v>1499.25</v>
      </c>
      <c r="U313">
        <f>IFERROR(RawSalesTable5[[#This Row],[Gross_Revenue]]-RawSalesTable5[[#This Row],[Discount_Value]],"NOT FOUND")</f>
        <v>8495.75</v>
      </c>
      <c r="V313">
        <f>IFERROR(RawSalesTable5[[#This Row],[Quantity]]*RawSalesTable5[[#This Row],[Unit_Cost]],"NOT FOUND")</f>
        <v>5250</v>
      </c>
      <c r="W313">
        <f>IFERROR(RawSalesTable5[[#This Row],[Net_Revenue]]-RawSalesTable5[[#This Row],[Cost]],"NOT FOUND")</f>
        <v>3245.75</v>
      </c>
      <c r="X313" s="27">
        <f>IF(RawSalesTable5[[#This Row],[Lookup_Status]]="Missing Product","",IFERROR(RawSalesTable5[[#This Row],[Profit]]/RawSalesTable5[[#This Row],[Net_Revenue]],0))</f>
        <v>0.38204396315804962</v>
      </c>
      <c r="Y313">
        <f>RawSalesTable5[[#This Row],[Ship_Date]]-RawSalesTable5[[#This Row],[Order_Date]]</f>
        <v>4</v>
      </c>
      <c r="Z313" s="28">
        <f>DATE(YEAR(RawSalesTable5[[#This Row],[Order_Date]]),MONTH(RawSalesTable5[[#This Row],[Order_Date]]),1)</f>
        <v>45778</v>
      </c>
      <c r="AA313" t="str" cm="1">
        <f t="array" ref="AA313">IF(RawSalesTable5[[#This Row],[Lookup_Status]]="Missing Product","",_xlfn.IFS(RawSalesTable5[[#This Row],[Net_Revenue]]&gt;=20000,"High",RawSalesTable5[[#This Row],[Net_Revenue]]&gt;=10000,"Medium",TRUE,"Low"))</f>
        <v>Low</v>
      </c>
    </row>
    <row r="314" spans="1:27">
      <c r="A314" t="s">
        <v>446</v>
      </c>
      <c r="B314" s="15">
        <v>45896</v>
      </c>
      <c r="C314" s="15">
        <v>45902</v>
      </c>
      <c r="D314" t="s">
        <v>157</v>
      </c>
      <c r="E314" t="s">
        <v>84</v>
      </c>
      <c r="F314" t="s">
        <v>138</v>
      </c>
      <c r="G314" t="s">
        <v>108</v>
      </c>
      <c r="H314" t="s">
        <v>103</v>
      </c>
      <c r="I314" s="17">
        <v>5</v>
      </c>
      <c r="J314" s="16">
        <v>0.2</v>
      </c>
      <c r="K314" t="s">
        <v>140</v>
      </c>
      <c r="L314" t="s">
        <v>89</v>
      </c>
      <c r="M314" s="17">
        <v>4</v>
      </c>
      <c r="N314" t="str" cm="1">
        <f t="array" ref="N314">_xlfn.XLOOKUP(RawSalesTable5[[#This Row],[Product_Code]],ProductLookupTable[[#All],[Product_Code]],ProductLookupTable[[#All],[Product_Name]],"NOT FOUND")</f>
        <v>24-inch Monitor</v>
      </c>
      <c r="O314" t="str" cm="1">
        <f t="array" ref="O314">_xlfn.XLOOKUP(RawSalesTable5[[#This Row],[Product_Code]],ProductLookupTable[[#All],[Product_Code]],ProductLookupTable[[#All],[Category]],"NOT FOUND")</f>
        <v>Displays</v>
      </c>
      <c r="P314" cm="1">
        <f t="array" ref="P314">_xlfn.XLOOKUP(RawSalesTable5[[#This Row],[Product_Code]],ProductLookupTable[[#All],[Product_Code]],ProductLookupTable[[#All],[Unit_Price]],"NOT FOUND")</f>
        <v>12999</v>
      </c>
      <c r="Q314" t="str">
        <f>IF(COUNTIF(ProductLookupTable[Product_Code],RawSalesTable5[[#This Row],[Product_Code]])=0,"Missing Product","OK")</f>
        <v>OK</v>
      </c>
      <c r="R314" cm="1">
        <f t="array" ref="R314">_xlfn.XLOOKUP(RawSalesTable5[[#This Row],[Product_Code]],ProductLookupTable[[#All],[Product_Code]],ProductLookupTable[[#All],[Unit_Cost]],"NOT FOUND")</f>
        <v>9100</v>
      </c>
      <c r="S314">
        <f>IFERROR(RawSalesTable5[[#This Row],[Quantity]]*RawSalesTable5[[#This Row],[Unit_Price]],"NOT FOUND")</f>
        <v>64995</v>
      </c>
      <c r="T314">
        <f>IFERROR(RawSalesTable5[[#This Row],[Gross_Revenue]]*RawSalesTable5[[#This Row],[Discount_Pct]],"NOT FOUND")</f>
        <v>12999</v>
      </c>
      <c r="U314">
        <f>IFERROR(RawSalesTable5[[#This Row],[Gross_Revenue]]-RawSalesTable5[[#This Row],[Discount_Value]],"NOT FOUND")</f>
        <v>51996</v>
      </c>
      <c r="V314">
        <f>IFERROR(RawSalesTable5[[#This Row],[Quantity]]*RawSalesTable5[[#This Row],[Unit_Cost]],"NOT FOUND")</f>
        <v>45500</v>
      </c>
      <c r="W314">
        <f>IFERROR(RawSalesTable5[[#This Row],[Net_Revenue]]-RawSalesTable5[[#This Row],[Cost]],"NOT FOUND")</f>
        <v>6496</v>
      </c>
      <c r="X314" s="27">
        <f>IF(RawSalesTable5[[#This Row],[Lookup_Status]]="Missing Product","",IFERROR(RawSalesTable5[[#This Row],[Profit]]/RawSalesTable5[[#This Row],[Net_Revenue]],0))</f>
        <v>0.12493268712977922</v>
      </c>
      <c r="Y314">
        <f>RawSalesTable5[[#This Row],[Ship_Date]]-RawSalesTable5[[#This Row],[Order_Date]]</f>
        <v>6</v>
      </c>
      <c r="Z314" s="28">
        <f>DATE(YEAR(RawSalesTable5[[#This Row],[Order_Date]]),MONTH(RawSalesTable5[[#This Row],[Order_Date]]),1)</f>
        <v>45870</v>
      </c>
      <c r="AA314" t="str" cm="1">
        <f t="array" ref="AA314">IF(RawSalesTable5[[#This Row],[Lookup_Status]]="Missing Product","",_xlfn.IFS(RawSalesTable5[[#This Row],[Net_Revenue]]&gt;=20000,"High",RawSalesTable5[[#This Row],[Net_Revenue]]&gt;=10000,"Medium",TRUE,"Low"))</f>
        <v>High</v>
      </c>
    </row>
    <row r="315" spans="1:27">
      <c r="A315" t="s">
        <v>447</v>
      </c>
      <c r="B315" s="15">
        <v>45798</v>
      </c>
      <c r="C315" s="15">
        <v>45804</v>
      </c>
      <c r="D315" t="s">
        <v>212</v>
      </c>
      <c r="E315" t="s">
        <v>92</v>
      </c>
      <c r="F315" t="s">
        <v>115</v>
      </c>
      <c r="G315" t="s">
        <v>94</v>
      </c>
      <c r="H315" t="s">
        <v>87</v>
      </c>
      <c r="I315" s="17">
        <v>4</v>
      </c>
      <c r="J315" s="16">
        <v>0.2</v>
      </c>
      <c r="K315" t="s">
        <v>88</v>
      </c>
      <c r="L315" t="s">
        <v>89</v>
      </c>
      <c r="M315" s="17">
        <v>3</v>
      </c>
      <c r="N315" t="str" cm="1">
        <f t="array" ref="N315">_xlfn.XLOOKUP(RawSalesTable5[[#This Row],[Product_Code]],ProductLookupTable[[#All],[Product_Code]],ProductLookupTable[[#All],[Product_Name]],"NOT FOUND")</f>
        <v>USB-C Hub</v>
      </c>
      <c r="O315" t="str" cm="1">
        <f t="array" ref="O315">_xlfn.XLOOKUP(RawSalesTable5[[#This Row],[Product_Code]],ProductLookupTable[[#All],[Product_Code]],ProductLookupTable[[#All],[Category]],"NOT FOUND")</f>
        <v>Accessories</v>
      </c>
      <c r="P315" cm="1">
        <f t="array" ref="P315">_xlfn.XLOOKUP(RawSalesTable5[[#This Row],[Product_Code]],ProductLookupTable[[#All],[Product_Code]],ProductLookupTable[[#All],[Unit_Price]],"NOT FOUND")</f>
        <v>1599</v>
      </c>
      <c r="Q315" t="str">
        <f>IF(COUNTIF(ProductLookupTable[Product_Code],RawSalesTable5[[#This Row],[Product_Code]])=0,"Missing Product","OK")</f>
        <v>OK</v>
      </c>
      <c r="R315" cm="1">
        <f t="array" ref="R315">_xlfn.XLOOKUP(RawSalesTable5[[#This Row],[Product_Code]],ProductLookupTable[[#All],[Product_Code]],ProductLookupTable[[#All],[Unit_Cost]],"NOT FOUND")</f>
        <v>870</v>
      </c>
      <c r="S315">
        <f>IFERROR(RawSalesTable5[[#This Row],[Quantity]]*RawSalesTable5[[#This Row],[Unit_Price]],"NOT FOUND")</f>
        <v>6396</v>
      </c>
      <c r="T315">
        <f>IFERROR(RawSalesTable5[[#This Row],[Gross_Revenue]]*RawSalesTable5[[#This Row],[Discount_Pct]],"NOT FOUND")</f>
        <v>1279.2</v>
      </c>
      <c r="U315">
        <f>IFERROR(RawSalesTable5[[#This Row],[Gross_Revenue]]-RawSalesTable5[[#This Row],[Discount_Value]],"NOT FOUND")</f>
        <v>5116.8</v>
      </c>
      <c r="V315">
        <f>IFERROR(RawSalesTable5[[#This Row],[Quantity]]*RawSalesTable5[[#This Row],[Unit_Cost]],"NOT FOUND")</f>
        <v>3480</v>
      </c>
      <c r="W315">
        <f>IFERROR(RawSalesTable5[[#This Row],[Net_Revenue]]-RawSalesTable5[[#This Row],[Cost]],"NOT FOUND")</f>
        <v>1636.8000000000002</v>
      </c>
      <c r="X315" s="27">
        <f>IF(RawSalesTable5[[#This Row],[Lookup_Status]]="Missing Product","",IFERROR(RawSalesTable5[[#This Row],[Profit]]/RawSalesTable5[[#This Row],[Net_Revenue]],0))</f>
        <v>0.31988742964352723</v>
      </c>
      <c r="Y315">
        <f>RawSalesTable5[[#This Row],[Ship_Date]]-RawSalesTable5[[#This Row],[Order_Date]]</f>
        <v>6</v>
      </c>
      <c r="Z315" s="28">
        <f>DATE(YEAR(RawSalesTable5[[#This Row],[Order_Date]]),MONTH(RawSalesTable5[[#This Row],[Order_Date]]),1)</f>
        <v>45778</v>
      </c>
      <c r="AA315" t="str" cm="1">
        <f t="array" ref="AA315">IF(RawSalesTable5[[#This Row],[Lookup_Status]]="Missing Product","",_xlfn.IFS(RawSalesTable5[[#This Row],[Net_Revenue]]&gt;=20000,"High",RawSalesTable5[[#This Row],[Net_Revenue]]&gt;=10000,"Medium",TRUE,"Low"))</f>
        <v>Low</v>
      </c>
    </row>
    <row r="316" spans="1:27">
      <c r="A316" t="s">
        <v>448</v>
      </c>
      <c r="B316" s="15">
        <v>45674</v>
      </c>
      <c r="C316" s="15">
        <v>45682</v>
      </c>
      <c r="D316" t="s">
        <v>123</v>
      </c>
      <c r="E316" t="s">
        <v>98</v>
      </c>
      <c r="F316" t="s">
        <v>118</v>
      </c>
      <c r="G316" t="s">
        <v>86</v>
      </c>
      <c r="H316" t="s">
        <v>86</v>
      </c>
      <c r="I316" s="17">
        <v>5</v>
      </c>
      <c r="J316" s="16">
        <v>0</v>
      </c>
      <c r="K316" t="s">
        <v>140</v>
      </c>
      <c r="L316" t="s">
        <v>89</v>
      </c>
      <c r="M316" s="17">
        <v>4</v>
      </c>
      <c r="N316" t="str" cm="1">
        <f t="array" ref="N316">_xlfn.XLOOKUP(RawSalesTable5[[#This Row],[Product_Code]],ProductLookupTable[[#All],[Product_Code]],ProductLookupTable[[#All],[Product_Name]],"NOT FOUND")</f>
        <v>Mechanical Keyboard</v>
      </c>
      <c r="O316" t="str" cm="1">
        <f t="array" ref="O316">_xlfn.XLOOKUP(RawSalesTable5[[#This Row],[Product_Code]],ProductLookupTable[[#All],[Product_Code]],ProductLookupTable[[#All],[Category]],"NOT FOUND")</f>
        <v>Accessories</v>
      </c>
      <c r="P316" cm="1">
        <f t="array" ref="P316">_xlfn.XLOOKUP(RawSalesTable5[[#This Row],[Product_Code]],ProductLookupTable[[#All],[Product_Code]],ProductLookupTable[[#All],[Unit_Price]],"NOT FOUND")</f>
        <v>2499</v>
      </c>
      <c r="Q316" t="str">
        <f>IF(COUNTIF(ProductLookupTable[Product_Code],RawSalesTable5[[#This Row],[Product_Code]])=0,"Missing Product","OK")</f>
        <v>OK</v>
      </c>
      <c r="R316" cm="1">
        <f t="array" ref="R316">_xlfn.XLOOKUP(RawSalesTable5[[#This Row],[Product_Code]],ProductLookupTable[[#All],[Product_Code]],ProductLookupTable[[#All],[Unit_Cost]],"NOT FOUND")</f>
        <v>1450</v>
      </c>
      <c r="S316">
        <f>IFERROR(RawSalesTable5[[#This Row],[Quantity]]*RawSalesTable5[[#This Row],[Unit_Price]],"NOT FOUND")</f>
        <v>12495</v>
      </c>
      <c r="T316">
        <f>IFERROR(RawSalesTable5[[#This Row],[Gross_Revenue]]*RawSalesTable5[[#This Row],[Discount_Pct]],"NOT FOUND")</f>
        <v>0</v>
      </c>
      <c r="U316">
        <f>IFERROR(RawSalesTable5[[#This Row],[Gross_Revenue]]-RawSalesTable5[[#This Row],[Discount_Value]],"NOT FOUND")</f>
        <v>12495</v>
      </c>
      <c r="V316">
        <f>IFERROR(RawSalesTable5[[#This Row],[Quantity]]*RawSalesTable5[[#This Row],[Unit_Cost]],"NOT FOUND")</f>
        <v>7250</v>
      </c>
      <c r="W316">
        <f>IFERROR(RawSalesTable5[[#This Row],[Net_Revenue]]-RawSalesTable5[[#This Row],[Cost]],"NOT FOUND")</f>
        <v>5245</v>
      </c>
      <c r="X316" s="27">
        <f>IF(RawSalesTable5[[#This Row],[Lookup_Status]]="Missing Product","",IFERROR(RawSalesTable5[[#This Row],[Profit]]/RawSalesTable5[[#This Row],[Net_Revenue]],0))</f>
        <v>0.41976790716286516</v>
      </c>
      <c r="Y316">
        <f>RawSalesTable5[[#This Row],[Ship_Date]]-RawSalesTable5[[#This Row],[Order_Date]]</f>
        <v>8</v>
      </c>
      <c r="Z316" s="28">
        <f>DATE(YEAR(RawSalesTable5[[#This Row],[Order_Date]]),MONTH(RawSalesTable5[[#This Row],[Order_Date]]),1)</f>
        <v>45658</v>
      </c>
      <c r="AA316" t="str" cm="1">
        <f t="array" ref="AA316">IF(RawSalesTable5[[#This Row],[Lookup_Status]]="Missing Product","",_xlfn.IFS(RawSalesTable5[[#This Row],[Net_Revenue]]&gt;=20000,"High",RawSalesTable5[[#This Row],[Net_Revenue]]&gt;=10000,"Medium",TRUE,"Low"))</f>
        <v>Medium</v>
      </c>
    </row>
    <row r="317" spans="1:27">
      <c r="A317" t="s">
        <v>449</v>
      </c>
      <c r="B317" s="15">
        <v>45853</v>
      </c>
      <c r="C317" s="15">
        <v>45860</v>
      </c>
      <c r="D317" t="s">
        <v>83</v>
      </c>
      <c r="E317" t="s">
        <v>101</v>
      </c>
      <c r="F317" t="s">
        <v>147</v>
      </c>
      <c r="G317" t="s">
        <v>94</v>
      </c>
      <c r="H317" t="s">
        <v>86</v>
      </c>
      <c r="I317" s="17">
        <v>5</v>
      </c>
      <c r="J317" s="16">
        <v>0.1</v>
      </c>
      <c r="K317" t="s">
        <v>112</v>
      </c>
      <c r="L317" t="s">
        <v>89</v>
      </c>
      <c r="M317" s="17">
        <v>3</v>
      </c>
      <c r="N317" t="str" cm="1">
        <f t="array" ref="N317">_xlfn.XLOOKUP(RawSalesTable5[[#This Row],[Product_Code]],ProductLookupTable[[#All],[Product_Code]],ProductLookupTable[[#All],[Product_Name]],"NOT FOUND")</f>
        <v>LED Desk Lamp</v>
      </c>
      <c r="O317" t="str" cm="1">
        <f t="array" ref="O317">_xlfn.XLOOKUP(RawSalesTable5[[#This Row],[Product_Code]],ProductLookupTable[[#All],[Product_Code]],ProductLookupTable[[#All],[Category]],"NOT FOUND")</f>
        <v>Furniture</v>
      </c>
      <c r="P317" cm="1">
        <f t="array" ref="P317">_xlfn.XLOOKUP(RawSalesTable5[[#This Row],[Product_Code]],ProductLookupTable[[#All],[Product_Code]],ProductLookupTable[[#All],[Unit_Price]],"NOT FOUND")</f>
        <v>1999</v>
      </c>
      <c r="Q317" t="str">
        <f>IF(COUNTIF(ProductLookupTable[Product_Code],RawSalesTable5[[#This Row],[Product_Code]])=0,"Missing Product","OK")</f>
        <v>OK</v>
      </c>
      <c r="R317" cm="1">
        <f t="array" ref="R317">_xlfn.XLOOKUP(RawSalesTable5[[#This Row],[Product_Code]],ProductLookupTable[[#All],[Product_Code]],ProductLookupTable[[#All],[Unit_Cost]],"NOT FOUND")</f>
        <v>1050</v>
      </c>
      <c r="S317">
        <f>IFERROR(RawSalesTable5[[#This Row],[Quantity]]*RawSalesTable5[[#This Row],[Unit_Price]],"NOT FOUND")</f>
        <v>9995</v>
      </c>
      <c r="T317">
        <f>IFERROR(RawSalesTable5[[#This Row],[Gross_Revenue]]*RawSalesTable5[[#This Row],[Discount_Pct]],"NOT FOUND")</f>
        <v>999.5</v>
      </c>
      <c r="U317">
        <f>IFERROR(RawSalesTable5[[#This Row],[Gross_Revenue]]-RawSalesTable5[[#This Row],[Discount_Value]],"NOT FOUND")</f>
        <v>8995.5</v>
      </c>
      <c r="V317">
        <f>IFERROR(RawSalesTable5[[#This Row],[Quantity]]*RawSalesTable5[[#This Row],[Unit_Cost]],"NOT FOUND")</f>
        <v>5250</v>
      </c>
      <c r="W317">
        <f>IFERROR(RawSalesTable5[[#This Row],[Net_Revenue]]-RawSalesTable5[[#This Row],[Cost]],"NOT FOUND")</f>
        <v>3745.5</v>
      </c>
      <c r="X317" s="27">
        <f>IF(RawSalesTable5[[#This Row],[Lookup_Status]]="Missing Product","",IFERROR(RawSalesTable5[[#This Row],[Profit]]/RawSalesTable5[[#This Row],[Net_Revenue]],0))</f>
        <v>0.4163748540937135</v>
      </c>
      <c r="Y317">
        <f>RawSalesTable5[[#This Row],[Ship_Date]]-RawSalesTable5[[#This Row],[Order_Date]]</f>
        <v>7</v>
      </c>
      <c r="Z317" s="28">
        <f>DATE(YEAR(RawSalesTable5[[#This Row],[Order_Date]]),MONTH(RawSalesTable5[[#This Row],[Order_Date]]),1)</f>
        <v>45839</v>
      </c>
      <c r="AA317" t="str" cm="1">
        <f t="array" ref="AA317">IF(RawSalesTable5[[#This Row],[Lookup_Status]]="Missing Product","",_xlfn.IFS(RawSalesTable5[[#This Row],[Net_Revenue]]&gt;=20000,"High",RawSalesTable5[[#This Row],[Net_Revenue]]&gt;=10000,"Medium",TRUE,"Low"))</f>
        <v>Low</v>
      </c>
    </row>
    <row r="318" spans="1:27">
      <c r="A318" t="s">
        <v>450</v>
      </c>
      <c r="B318" s="15">
        <v>45666</v>
      </c>
      <c r="C318" s="15">
        <v>45671</v>
      </c>
      <c r="D318" t="s">
        <v>114</v>
      </c>
      <c r="E318" t="s">
        <v>106</v>
      </c>
      <c r="F318" t="s">
        <v>124</v>
      </c>
      <c r="G318" t="s">
        <v>125</v>
      </c>
      <c r="H318" t="s">
        <v>86</v>
      </c>
      <c r="I318" s="17">
        <v>5</v>
      </c>
      <c r="J318" s="16">
        <v>0</v>
      </c>
      <c r="K318" t="s">
        <v>119</v>
      </c>
      <c r="L318" t="s">
        <v>89</v>
      </c>
      <c r="M318" s="17">
        <v>3</v>
      </c>
      <c r="N318" t="str" cm="1">
        <f t="array" ref="N318">_xlfn.XLOOKUP(RawSalesTable5[[#This Row],[Product_Code]],ProductLookupTable[[#All],[Product_Code]],ProductLookupTable[[#All],[Product_Name]],"NOT FOUND")</f>
        <v>Wireless Mouse</v>
      </c>
      <c r="O318" t="str" cm="1">
        <f t="array" ref="O318">_xlfn.XLOOKUP(RawSalesTable5[[#This Row],[Product_Code]],ProductLookupTable[[#All],[Product_Code]],ProductLookupTable[[#All],[Category]],"NOT FOUND")</f>
        <v>Accessories</v>
      </c>
      <c r="P318" cm="1">
        <f t="array" ref="P318">_xlfn.XLOOKUP(RawSalesTable5[[#This Row],[Product_Code]],ProductLookupTable[[#All],[Product_Code]],ProductLookupTable[[#All],[Unit_Price]],"NOT FOUND")</f>
        <v>799</v>
      </c>
      <c r="Q318" t="str">
        <f>IF(COUNTIF(ProductLookupTable[Product_Code],RawSalesTable5[[#This Row],[Product_Code]])=0,"Missing Product","OK")</f>
        <v>OK</v>
      </c>
      <c r="R318" cm="1">
        <f t="array" ref="R318">_xlfn.XLOOKUP(RawSalesTable5[[#This Row],[Product_Code]],ProductLookupTable[[#All],[Product_Code]],ProductLookupTable[[#All],[Unit_Cost]],"NOT FOUND")</f>
        <v>420</v>
      </c>
      <c r="S318">
        <f>IFERROR(RawSalesTable5[[#This Row],[Quantity]]*RawSalesTable5[[#This Row],[Unit_Price]],"NOT FOUND")</f>
        <v>3995</v>
      </c>
      <c r="T318">
        <f>IFERROR(RawSalesTable5[[#This Row],[Gross_Revenue]]*RawSalesTable5[[#This Row],[Discount_Pct]],"NOT FOUND")</f>
        <v>0</v>
      </c>
      <c r="U318">
        <f>IFERROR(RawSalesTable5[[#This Row],[Gross_Revenue]]-RawSalesTable5[[#This Row],[Discount_Value]],"NOT FOUND")</f>
        <v>3995</v>
      </c>
      <c r="V318">
        <f>IFERROR(RawSalesTable5[[#This Row],[Quantity]]*RawSalesTable5[[#This Row],[Unit_Cost]],"NOT FOUND")</f>
        <v>2100</v>
      </c>
      <c r="W318">
        <f>IFERROR(RawSalesTable5[[#This Row],[Net_Revenue]]-RawSalesTable5[[#This Row],[Cost]],"NOT FOUND")</f>
        <v>1895</v>
      </c>
      <c r="X318" s="27">
        <f>IF(RawSalesTable5[[#This Row],[Lookup_Status]]="Missing Product","",IFERROR(RawSalesTable5[[#This Row],[Profit]]/RawSalesTable5[[#This Row],[Net_Revenue]],0))</f>
        <v>0.47434292866082606</v>
      </c>
      <c r="Y318">
        <f>RawSalesTable5[[#This Row],[Ship_Date]]-RawSalesTable5[[#This Row],[Order_Date]]</f>
        <v>5</v>
      </c>
      <c r="Z318" s="28">
        <f>DATE(YEAR(RawSalesTable5[[#This Row],[Order_Date]]),MONTH(RawSalesTable5[[#This Row],[Order_Date]]),1)</f>
        <v>45658</v>
      </c>
      <c r="AA318" t="str" cm="1">
        <f t="array" ref="AA318">IF(RawSalesTable5[[#This Row],[Lookup_Status]]="Missing Product","",_xlfn.IFS(RawSalesTable5[[#This Row],[Net_Revenue]]&gt;=20000,"High",RawSalesTable5[[#This Row],[Net_Revenue]]&gt;=10000,"Medium",TRUE,"Low"))</f>
        <v>Low</v>
      </c>
    </row>
    <row r="319" spans="1:27">
      <c r="A319" t="s">
        <v>451</v>
      </c>
      <c r="B319" s="15">
        <v>45751</v>
      </c>
      <c r="C319" s="15">
        <v>45757</v>
      </c>
      <c r="D319" t="s">
        <v>157</v>
      </c>
      <c r="E319" t="s">
        <v>111</v>
      </c>
      <c r="F319" t="s">
        <v>93</v>
      </c>
      <c r="G319" t="s">
        <v>108</v>
      </c>
      <c r="H319" t="s">
        <v>103</v>
      </c>
      <c r="I319" s="17">
        <v>2</v>
      </c>
      <c r="J319" s="16">
        <v>0.05</v>
      </c>
      <c r="K319" t="s">
        <v>95</v>
      </c>
      <c r="L319" t="s">
        <v>89</v>
      </c>
      <c r="M319" s="17">
        <v>5</v>
      </c>
      <c r="N319" t="str" cm="1">
        <f t="array" ref="N319">_xlfn.XLOOKUP(RawSalesTable5[[#This Row],[Product_Code]],ProductLookupTable[[#All],[Product_Code]],ProductLookupTable[[#All],[Product_Name]],"NOT FOUND")</f>
        <v>Wireless Headset</v>
      </c>
      <c r="O319" t="str" cm="1">
        <f t="array" ref="O319">_xlfn.XLOOKUP(RawSalesTable5[[#This Row],[Product_Code]],ProductLookupTable[[#All],[Product_Code]],ProductLookupTable[[#All],[Category]],"NOT FOUND")</f>
        <v>Audio</v>
      </c>
      <c r="P319" cm="1">
        <f t="array" ref="P319">_xlfn.XLOOKUP(RawSalesTable5[[#This Row],[Product_Code]],ProductLookupTable[[#All],[Product_Code]],ProductLookupTable[[#All],[Unit_Price]],"NOT FOUND")</f>
        <v>3499</v>
      </c>
      <c r="Q319" t="str">
        <f>IF(COUNTIF(ProductLookupTable[Product_Code],RawSalesTable5[[#This Row],[Product_Code]])=0,"Missing Product","OK")</f>
        <v>OK</v>
      </c>
      <c r="R319" cm="1">
        <f t="array" ref="R319">_xlfn.XLOOKUP(RawSalesTable5[[#This Row],[Product_Code]],ProductLookupTable[[#All],[Product_Code]],ProductLookupTable[[#All],[Unit_Cost]],"NOT FOUND")</f>
        <v>2100</v>
      </c>
      <c r="S319">
        <f>IFERROR(RawSalesTable5[[#This Row],[Quantity]]*RawSalesTable5[[#This Row],[Unit_Price]],"NOT FOUND")</f>
        <v>6998</v>
      </c>
      <c r="T319">
        <f>IFERROR(RawSalesTable5[[#This Row],[Gross_Revenue]]*RawSalesTable5[[#This Row],[Discount_Pct]],"NOT FOUND")</f>
        <v>349.90000000000003</v>
      </c>
      <c r="U319">
        <f>IFERROR(RawSalesTable5[[#This Row],[Gross_Revenue]]-RawSalesTable5[[#This Row],[Discount_Value]],"NOT FOUND")</f>
        <v>6648.1</v>
      </c>
      <c r="V319">
        <f>IFERROR(RawSalesTable5[[#This Row],[Quantity]]*RawSalesTable5[[#This Row],[Unit_Cost]],"NOT FOUND")</f>
        <v>4200</v>
      </c>
      <c r="W319">
        <f>IFERROR(RawSalesTable5[[#This Row],[Net_Revenue]]-RawSalesTable5[[#This Row],[Cost]],"NOT FOUND")</f>
        <v>2448.1000000000004</v>
      </c>
      <c r="X319" s="27">
        <f>IF(RawSalesTable5[[#This Row],[Lookup_Status]]="Missing Product","",IFERROR(RawSalesTable5[[#This Row],[Profit]]/RawSalesTable5[[#This Row],[Net_Revenue]],0))</f>
        <v>0.36824054993155941</v>
      </c>
      <c r="Y319">
        <f>RawSalesTable5[[#This Row],[Ship_Date]]-RawSalesTable5[[#This Row],[Order_Date]]</f>
        <v>6</v>
      </c>
      <c r="Z319" s="28">
        <f>DATE(YEAR(RawSalesTable5[[#This Row],[Order_Date]]),MONTH(RawSalesTable5[[#This Row],[Order_Date]]),1)</f>
        <v>45748</v>
      </c>
      <c r="AA319" t="str" cm="1">
        <f t="array" ref="AA319">IF(RawSalesTable5[[#This Row],[Lookup_Status]]="Missing Product","",_xlfn.IFS(RawSalesTable5[[#This Row],[Net_Revenue]]&gt;=20000,"High",RawSalesTable5[[#This Row],[Net_Revenue]]&gt;=10000,"Medium",TRUE,"Low"))</f>
        <v>Low</v>
      </c>
    </row>
    <row r="320" spans="1:27">
      <c r="A320" t="s">
        <v>452</v>
      </c>
      <c r="B320" s="15">
        <v>45817</v>
      </c>
      <c r="C320" s="15">
        <v>45823</v>
      </c>
      <c r="D320" t="s">
        <v>212</v>
      </c>
      <c r="E320" t="s">
        <v>84</v>
      </c>
      <c r="F320" t="s">
        <v>149</v>
      </c>
      <c r="G320" t="s">
        <v>94</v>
      </c>
      <c r="H320" t="s">
        <v>103</v>
      </c>
      <c r="I320" s="17">
        <v>3</v>
      </c>
      <c r="J320" s="16">
        <v>0.15</v>
      </c>
      <c r="K320" t="s">
        <v>112</v>
      </c>
      <c r="L320" t="s">
        <v>89</v>
      </c>
      <c r="M320" s="17">
        <v>5</v>
      </c>
      <c r="N320" t="str" cm="1">
        <f t="array" ref="N320">_xlfn.XLOOKUP(RawSalesTable5[[#This Row],[Product_Code]],ProductLookupTable[[#All],[Product_Code]],ProductLookupTable[[#All],[Product_Name]],"NOT FOUND")</f>
        <v>Portable HDD 2TB</v>
      </c>
      <c r="O320" t="str" cm="1">
        <f t="array" ref="O320">_xlfn.XLOOKUP(RawSalesTable5[[#This Row],[Product_Code]],ProductLookupTable[[#All],[Product_Code]],ProductLookupTable[[#All],[Category]],"NOT FOUND")</f>
        <v>Storage</v>
      </c>
      <c r="P320" cm="1">
        <f t="array" ref="P320">_xlfn.XLOOKUP(RawSalesTable5[[#This Row],[Product_Code]],ProductLookupTable[[#All],[Product_Code]],ProductLookupTable[[#All],[Unit_Price]],"NOT FOUND")</f>
        <v>5899</v>
      </c>
      <c r="Q320" t="str">
        <f>IF(COUNTIF(ProductLookupTable[Product_Code],RawSalesTable5[[#This Row],[Product_Code]])=0,"Missing Product","OK")</f>
        <v>OK</v>
      </c>
      <c r="R320" cm="1">
        <f t="array" ref="R320">_xlfn.XLOOKUP(RawSalesTable5[[#This Row],[Product_Code]],ProductLookupTable[[#All],[Product_Code]],ProductLookupTable[[#All],[Unit_Cost]],"NOT FOUND")</f>
        <v>4100</v>
      </c>
      <c r="S320">
        <f>IFERROR(RawSalesTable5[[#This Row],[Quantity]]*RawSalesTable5[[#This Row],[Unit_Price]],"NOT FOUND")</f>
        <v>17697</v>
      </c>
      <c r="T320">
        <f>IFERROR(RawSalesTable5[[#This Row],[Gross_Revenue]]*RawSalesTable5[[#This Row],[Discount_Pct]],"NOT FOUND")</f>
        <v>2654.5499999999997</v>
      </c>
      <c r="U320">
        <f>IFERROR(RawSalesTable5[[#This Row],[Gross_Revenue]]-RawSalesTable5[[#This Row],[Discount_Value]],"NOT FOUND")</f>
        <v>15042.45</v>
      </c>
      <c r="V320">
        <f>IFERROR(RawSalesTable5[[#This Row],[Quantity]]*RawSalesTable5[[#This Row],[Unit_Cost]],"NOT FOUND")</f>
        <v>12300</v>
      </c>
      <c r="W320">
        <f>IFERROR(RawSalesTable5[[#This Row],[Net_Revenue]]-RawSalesTable5[[#This Row],[Cost]],"NOT FOUND")</f>
        <v>2742.4500000000007</v>
      </c>
      <c r="X320" s="27">
        <f>IF(RawSalesTable5[[#This Row],[Lookup_Status]]="Missing Product","",IFERROR(RawSalesTable5[[#This Row],[Profit]]/RawSalesTable5[[#This Row],[Net_Revenue]],0))</f>
        <v>0.18231405123500496</v>
      </c>
      <c r="Y320">
        <f>RawSalesTable5[[#This Row],[Ship_Date]]-RawSalesTable5[[#This Row],[Order_Date]]</f>
        <v>6</v>
      </c>
      <c r="Z320" s="28">
        <f>DATE(YEAR(RawSalesTable5[[#This Row],[Order_Date]]),MONTH(RawSalesTable5[[#This Row],[Order_Date]]),1)</f>
        <v>45809</v>
      </c>
      <c r="AA320" t="str" cm="1">
        <f t="array" ref="AA320">IF(RawSalesTable5[[#This Row],[Lookup_Status]]="Missing Product","",_xlfn.IFS(RawSalesTable5[[#This Row],[Net_Revenue]]&gt;=20000,"High",RawSalesTable5[[#This Row],[Net_Revenue]]&gt;=10000,"Medium",TRUE,"Low"))</f>
        <v>Medium</v>
      </c>
    </row>
    <row r="321" spans="1:27">
      <c r="A321" t="s">
        <v>453</v>
      </c>
      <c r="B321" s="15">
        <v>45937</v>
      </c>
      <c r="C321" s="15">
        <v>45942</v>
      </c>
      <c r="D321" t="s">
        <v>123</v>
      </c>
      <c r="E321" t="s">
        <v>92</v>
      </c>
      <c r="F321" t="s">
        <v>93</v>
      </c>
      <c r="G321" t="s">
        <v>125</v>
      </c>
      <c r="H321" t="s">
        <v>103</v>
      </c>
      <c r="I321" s="17">
        <v>3</v>
      </c>
      <c r="J321" s="16">
        <v>0.05</v>
      </c>
      <c r="K321" t="s">
        <v>88</v>
      </c>
      <c r="L321" t="s">
        <v>89</v>
      </c>
      <c r="M321" s="17">
        <v>3</v>
      </c>
      <c r="N321" t="str" cm="1">
        <f t="array" ref="N321">_xlfn.XLOOKUP(RawSalesTable5[[#This Row],[Product_Code]],ProductLookupTable[[#All],[Product_Code]],ProductLookupTable[[#All],[Product_Name]],"NOT FOUND")</f>
        <v>Wireless Headset</v>
      </c>
      <c r="O321" t="str" cm="1">
        <f t="array" ref="O321">_xlfn.XLOOKUP(RawSalesTable5[[#This Row],[Product_Code]],ProductLookupTable[[#All],[Product_Code]],ProductLookupTable[[#All],[Category]],"NOT FOUND")</f>
        <v>Audio</v>
      </c>
      <c r="P321" cm="1">
        <f t="array" ref="P321">_xlfn.XLOOKUP(RawSalesTable5[[#This Row],[Product_Code]],ProductLookupTable[[#All],[Product_Code]],ProductLookupTable[[#All],[Unit_Price]],"NOT FOUND")</f>
        <v>3499</v>
      </c>
      <c r="Q321" t="str">
        <f>IF(COUNTIF(ProductLookupTable[Product_Code],RawSalesTable5[[#This Row],[Product_Code]])=0,"Missing Product","OK")</f>
        <v>OK</v>
      </c>
      <c r="R321" cm="1">
        <f t="array" ref="R321">_xlfn.XLOOKUP(RawSalesTable5[[#This Row],[Product_Code]],ProductLookupTable[[#All],[Product_Code]],ProductLookupTable[[#All],[Unit_Cost]],"NOT FOUND")</f>
        <v>2100</v>
      </c>
      <c r="S321">
        <f>IFERROR(RawSalesTable5[[#This Row],[Quantity]]*RawSalesTable5[[#This Row],[Unit_Price]],"NOT FOUND")</f>
        <v>10497</v>
      </c>
      <c r="T321">
        <f>IFERROR(RawSalesTable5[[#This Row],[Gross_Revenue]]*RawSalesTable5[[#This Row],[Discount_Pct]],"NOT FOUND")</f>
        <v>524.85</v>
      </c>
      <c r="U321">
        <f>IFERROR(RawSalesTable5[[#This Row],[Gross_Revenue]]-RawSalesTable5[[#This Row],[Discount_Value]],"NOT FOUND")</f>
        <v>9972.15</v>
      </c>
      <c r="V321">
        <f>IFERROR(RawSalesTable5[[#This Row],[Quantity]]*RawSalesTable5[[#This Row],[Unit_Cost]],"NOT FOUND")</f>
        <v>6300</v>
      </c>
      <c r="W321">
        <f>IFERROR(RawSalesTable5[[#This Row],[Net_Revenue]]-RawSalesTable5[[#This Row],[Cost]],"NOT FOUND")</f>
        <v>3672.1499999999996</v>
      </c>
      <c r="X321" s="27">
        <f>IF(RawSalesTable5[[#This Row],[Lookup_Status]]="Missing Product","",IFERROR(RawSalesTable5[[#This Row],[Profit]]/RawSalesTable5[[#This Row],[Net_Revenue]],0))</f>
        <v>0.36824054993155936</v>
      </c>
      <c r="Y321">
        <f>RawSalesTable5[[#This Row],[Ship_Date]]-RawSalesTable5[[#This Row],[Order_Date]]</f>
        <v>5</v>
      </c>
      <c r="Z321" s="28">
        <f>DATE(YEAR(RawSalesTable5[[#This Row],[Order_Date]]),MONTH(RawSalesTable5[[#This Row],[Order_Date]]),1)</f>
        <v>45931</v>
      </c>
      <c r="AA321" t="str" cm="1">
        <f t="array" ref="AA321">IF(RawSalesTable5[[#This Row],[Lookup_Status]]="Missing Product","",_xlfn.IFS(RawSalesTable5[[#This Row],[Net_Revenue]]&gt;=20000,"High",RawSalesTable5[[#This Row],[Net_Revenue]]&gt;=10000,"Medium",TRUE,"Low"))</f>
        <v>Low</v>
      </c>
    </row>
    <row r="322" spans="1:27">
      <c r="A322" t="s">
        <v>454</v>
      </c>
      <c r="B322" s="15">
        <v>45905</v>
      </c>
      <c r="C322" s="15">
        <v>45906</v>
      </c>
      <c r="D322" t="s">
        <v>83</v>
      </c>
      <c r="E322" t="s">
        <v>98</v>
      </c>
      <c r="F322" t="s">
        <v>149</v>
      </c>
      <c r="G322" t="s">
        <v>94</v>
      </c>
      <c r="H322" t="s">
        <v>87</v>
      </c>
      <c r="I322" s="17">
        <v>5</v>
      </c>
      <c r="J322" s="16">
        <v>0.15</v>
      </c>
      <c r="K322" t="s">
        <v>112</v>
      </c>
      <c r="L322" t="s">
        <v>89</v>
      </c>
      <c r="M322" s="17">
        <v>4</v>
      </c>
      <c r="N322" t="str" cm="1">
        <f t="array" ref="N322">_xlfn.XLOOKUP(RawSalesTable5[[#This Row],[Product_Code]],ProductLookupTable[[#All],[Product_Code]],ProductLookupTable[[#All],[Product_Name]],"NOT FOUND")</f>
        <v>Portable HDD 2TB</v>
      </c>
      <c r="O322" t="str" cm="1">
        <f t="array" ref="O322">_xlfn.XLOOKUP(RawSalesTable5[[#This Row],[Product_Code]],ProductLookupTable[[#All],[Product_Code]],ProductLookupTable[[#All],[Category]],"NOT FOUND")</f>
        <v>Storage</v>
      </c>
      <c r="P322" cm="1">
        <f t="array" ref="P322">_xlfn.XLOOKUP(RawSalesTable5[[#This Row],[Product_Code]],ProductLookupTable[[#All],[Product_Code]],ProductLookupTable[[#All],[Unit_Price]],"NOT FOUND")</f>
        <v>5899</v>
      </c>
      <c r="Q322" t="str">
        <f>IF(COUNTIF(ProductLookupTable[Product_Code],RawSalesTable5[[#This Row],[Product_Code]])=0,"Missing Product","OK")</f>
        <v>OK</v>
      </c>
      <c r="R322" cm="1">
        <f t="array" ref="R322">_xlfn.XLOOKUP(RawSalesTable5[[#This Row],[Product_Code]],ProductLookupTable[[#All],[Product_Code]],ProductLookupTable[[#All],[Unit_Cost]],"NOT FOUND")</f>
        <v>4100</v>
      </c>
      <c r="S322">
        <f>IFERROR(RawSalesTable5[[#This Row],[Quantity]]*RawSalesTable5[[#This Row],[Unit_Price]],"NOT FOUND")</f>
        <v>29495</v>
      </c>
      <c r="T322">
        <f>IFERROR(RawSalesTable5[[#This Row],[Gross_Revenue]]*RawSalesTable5[[#This Row],[Discount_Pct]],"NOT FOUND")</f>
        <v>4424.25</v>
      </c>
      <c r="U322">
        <f>IFERROR(RawSalesTable5[[#This Row],[Gross_Revenue]]-RawSalesTable5[[#This Row],[Discount_Value]],"NOT FOUND")</f>
        <v>25070.75</v>
      </c>
      <c r="V322">
        <f>IFERROR(RawSalesTable5[[#This Row],[Quantity]]*RawSalesTable5[[#This Row],[Unit_Cost]],"NOT FOUND")</f>
        <v>20500</v>
      </c>
      <c r="W322">
        <f>IFERROR(RawSalesTable5[[#This Row],[Net_Revenue]]-RawSalesTable5[[#This Row],[Cost]],"NOT FOUND")</f>
        <v>4570.75</v>
      </c>
      <c r="X322" s="27">
        <f>IF(RawSalesTable5[[#This Row],[Lookup_Status]]="Missing Product","",IFERROR(RawSalesTable5[[#This Row],[Profit]]/RawSalesTable5[[#This Row],[Net_Revenue]],0))</f>
        <v>0.18231405123500494</v>
      </c>
      <c r="Y322">
        <f>RawSalesTable5[[#This Row],[Ship_Date]]-RawSalesTable5[[#This Row],[Order_Date]]</f>
        <v>1</v>
      </c>
      <c r="Z322" s="28">
        <f>DATE(YEAR(RawSalesTable5[[#This Row],[Order_Date]]),MONTH(RawSalesTable5[[#This Row],[Order_Date]]),1)</f>
        <v>45901</v>
      </c>
      <c r="AA322" t="str" cm="1">
        <f t="array" ref="AA322">IF(RawSalesTable5[[#This Row],[Lookup_Status]]="Missing Product","",_xlfn.IFS(RawSalesTable5[[#This Row],[Net_Revenue]]&gt;=20000,"High",RawSalesTable5[[#This Row],[Net_Revenue]]&gt;=10000,"Medium",TRUE,"Low"))</f>
        <v>High</v>
      </c>
    </row>
    <row r="323" spans="1:27">
      <c r="A323" t="s">
        <v>455</v>
      </c>
      <c r="B323" s="15">
        <v>45991</v>
      </c>
      <c r="C323" s="15">
        <v>45999</v>
      </c>
      <c r="D323" t="s">
        <v>114</v>
      </c>
      <c r="E323" t="s">
        <v>101</v>
      </c>
      <c r="F323" t="s">
        <v>118</v>
      </c>
      <c r="G323" t="s">
        <v>86</v>
      </c>
      <c r="H323" t="s">
        <v>103</v>
      </c>
      <c r="I323" s="17">
        <v>1</v>
      </c>
      <c r="J323" s="16">
        <v>0.05</v>
      </c>
      <c r="K323" t="s">
        <v>88</v>
      </c>
      <c r="L323" t="s">
        <v>89</v>
      </c>
      <c r="M323" s="17">
        <v>3</v>
      </c>
      <c r="N323" t="str" cm="1">
        <f t="array" ref="N323">_xlfn.XLOOKUP(RawSalesTable5[[#This Row],[Product_Code]],ProductLookupTable[[#All],[Product_Code]],ProductLookupTable[[#All],[Product_Name]],"NOT FOUND")</f>
        <v>Mechanical Keyboard</v>
      </c>
      <c r="O323" t="str" cm="1">
        <f t="array" ref="O323">_xlfn.XLOOKUP(RawSalesTable5[[#This Row],[Product_Code]],ProductLookupTable[[#All],[Product_Code]],ProductLookupTable[[#All],[Category]],"NOT FOUND")</f>
        <v>Accessories</v>
      </c>
      <c r="P323" cm="1">
        <f t="array" ref="P323">_xlfn.XLOOKUP(RawSalesTable5[[#This Row],[Product_Code]],ProductLookupTable[[#All],[Product_Code]],ProductLookupTable[[#All],[Unit_Price]],"NOT FOUND")</f>
        <v>2499</v>
      </c>
      <c r="Q323" t="str">
        <f>IF(COUNTIF(ProductLookupTable[Product_Code],RawSalesTable5[[#This Row],[Product_Code]])=0,"Missing Product","OK")</f>
        <v>OK</v>
      </c>
      <c r="R323" cm="1">
        <f t="array" ref="R323">_xlfn.XLOOKUP(RawSalesTable5[[#This Row],[Product_Code]],ProductLookupTable[[#All],[Product_Code]],ProductLookupTable[[#All],[Unit_Cost]],"NOT FOUND")</f>
        <v>1450</v>
      </c>
      <c r="S323">
        <f>IFERROR(RawSalesTable5[[#This Row],[Quantity]]*RawSalesTable5[[#This Row],[Unit_Price]],"NOT FOUND")</f>
        <v>2499</v>
      </c>
      <c r="T323">
        <f>IFERROR(RawSalesTable5[[#This Row],[Gross_Revenue]]*RawSalesTable5[[#This Row],[Discount_Pct]],"NOT FOUND")</f>
        <v>124.95</v>
      </c>
      <c r="U323">
        <f>IFERROR(RawSalesTable5[[#This Row],[Gross_Revenue]]-RawSalesTable5[[#This Row],[Discount_Value]],"NOT FOUND")</f>
        <v>2374.0500000000002</v>
      </c>
      <c r="V323">
        <f>IFERROR(RawSalesTable5[[#This Row],[Quantity]]*RawSalesTable5[[#This Row],[Unit_Cost]],"NOT FOUND")</f>
        <v>1450</v>
      </c>
      <c r="W323">
        <f>IFERROR(RawSalesTable5[[#This Row],[Net_Revenue]]-RawSalesTable5[[#This Row],[Cost]],"NOT FOUND")</f>
        <v>924.05000000000018</v>
      </c>
      <c r="X323" s="27">
        <f>IF(RawSalesTable5[[#This Row],[Lookup_Status]]="Missing Product","",IFERROR(RawSalesTable5[[#This Row],[Profit]]/RawSalesTable5[[#This Row],[Net_Revenue]],0))</f>
        <v>0.38922937596091073</v>
      </c>
      <c r="Y323">
        <f>RawSalesTable5[[#This Row],[Ship_Date]]-RawSalesTable5[[#This Row],[Order_Date]]</f>
        <v>8</v>
      </c>
      <c r="Z323" s="28">
        <f>DATE(YEAR(RawSalesTable5[[#This Row],[Order_Date]]),MONTH(RawSalesTable5[[#This Row],[Order_Date]]),1)</f>
        <v>45962</v>
      </c>
      <c r="AA323" t="str" cm="1">
        <f t="array" ref="AA323">IF(RawSalesTable5[[#This Row],[Lookup_Status]]="Missing Product","",_xlfn.IFS(RawSalesTable5[[#This Row],[Net_Revenue]]&gt;=20000,"High",RawSalesTable5[[#This Row],[Net_Revenue]]&gt;=10000,"Medium",TRUE,"Low"))</f>
        <v>Low</v>
      </c>
    </row>
    <row r="324" spans="1:27">
      <c r="A324" t="s">
        <v>456</v>
      </c>
      <c r="B324" s="15">
        <v>45785</v>
      </c>
      <c r="C324" s="15">
        <v>45792</v>
      </c>
      <c r="D324" t="s">
        <v>157</v>
      </c>
      <c r="E324" t="s">
        <v>106</v>
      </c>
      <c r="F324" t="s">
        <v>149</v>
      </c>
      <c r="G324" t="s">
        <v>108</v>
      </c>
      <c r="H324" t="s">
        <v>103</v>
      </c>
      <c r="I324" s="17">
        <v>3</v>
      </c>
      <c r="J324" s="16">
        <v>0.15</v>
      </c>
      <c r="K324" t="s">
        <v>95</v>
      </c>
      <c r="L324" t="s">
        <v>89</v>
      </c>
      <c r="M324" s="17">
        <v>4</v>
      </c>
      <c r="N324" t="str" cm="1">
        <f t="array" ref="N324">_xlfn.XLOOKUP(RawSalesTable5[[#This Row],[Product_Code]],ProductLookupTable[[#All],[Product_Code]],ProductLookupTable[[#All],[Product_Name]],"NOT FOUND")</f>
        <v>Portable HDD 2TB</v>
      </c>
      <c r="O324" t="str" cm="1">
        <f t="array" ref="O324">_xlfn.XLOOKUP(RawSalesTable5[[#This Row],[Product_Code]],ProductLookupTable[[#All],[Product_Code]],ProductLookupTable[[#All],[Category]],"NOT FOUND")</f>
        <v>Storage</v>
      </c>
      <c r="P324" cm="1">
        <f t="array" ref="P324">_xlfn.XLOOKUP(RawSalesTable5[[#This Row],[Product_Code]],ProductLookupTable[[#All],[Product_Code]],ProductLookupTable[[#All],[Unit_Price]],"NOT FOUND")</f>
        <v>5899</v>
      </c>
      <c r="Q324" t="str">
        <f>IF(COUNTIF(ProductLookupTable[Product_Code],RawSalesTable5[[#This Row],[Product_Code]])=0,"Missing Product","OK")</f>
        <v>OK</v>
      </c>
      <c r="R324" cm="1">
        <f t="array" ref="R324">_xlfn.XLOOKUP(RawSalesTable5[[#This Row],[Product_Code]],ProductLookupTable[[#All],[Product_Code]],ProductLookupTable[[#All],[Unit_Cost]],"NOT FOUND")</f>
        <v>4100</v>
      </c>
      <c r="S324">
        <f>IFERROR(RawSalesTable5[[#This Row],[Quantity]]*RawSalesTable5[[#This Row],[Unit_Price]],"NOT FOUND")</f>
        <v>17697</v>
      </c>
      <c r="T324">
        <f>IFERROR(RawSalesTable5[[#This Row],[Gross_Revenue]]*RawSalesTable5[[#This Row],[Discount_Pct]],"NOT FOUND")</f>
        <v>2654.5499999999997</v>
      </c>
      <c r="U324">
        <f>IFERROR(RawSalesTable5[[#This Row],[Gross_Revenue]]-RawSalesTable5[[#This Row],[Discount_Value]],"NOT FOUND")</f>
        <v>15042.45</v>
      </c>
      <c r="V324">
        <f>IFERROR(RawSalesTable5[[#This Row],[Quantity]]*RawSalesTable5[[#This Row],[Unit_Cost]],"NOT FOUND")</f>
        <v>12300</v>
      </c>
      <c r="W324">
        <f>IFERROR(RawSalesTable5[[#This Row],[Net_Revenue]]-RawSalesTable5[[#This Row],[Cost]],"NOT FOUND")</f>
        <v>2742.4500000000007</v>
      </c>
      <c r="X324" s="27">
        <f>IF(RawSalesTable5[[#This Row],[Lookup_Status]]="Missing Product","",IFERROR(RawSalesTable5[[#This Row],[Profit]]/RawSalesTable5[[#This Row],[Net_Revenue]],0))</f>
        <v>0.18231405123500496</v>
      </c>
      <c r="Y324">
        <f>RawSalesTable5[[#This Row],[Ship_Date]]-RawSalesTable5[[#This Row],[Order_Date]]</f>
        <v>7</v>
      </c>
      <c r="Z324" s="28">
        <f>DATE(YEAR(RawSalesTable5[[#This Row],[Order_Date]]),MONTH(RawSalesTable5[[#This Row],[Order_Date]]),1)</f>
        <v>45778</v>
      </c>
      <c r="AA324" t="str" cm="1">
        <f t="array" ref="AA324">IF(RawSalesTable5[[#This Row],[Lookup_Status]]="Missing Product","",_xlfn.IFS(RawSalesTable5[[#This Row],[Net_Revenue]]&gt;=20000,"High",RawSalesTable5[[#This Row],[Net_Revenue]]&gt;=10000,"Medium",TRUE,"Low"))</f>
        <v>Medium</v>
      </c>
    </row>
    <row r="325" spans="1:27">
      <c r="A325" t="s">
        <v>457</v>
      </c>
      <c r="B325" s="15">
        <v>45966</v>
      </c>
      <c r="C325" s="15">
        <v>45970</v>
      </c>
      <c r="D325" t="s">
        <v>212</v>
      </c>
      <c r="E325" t="s">
        <v>111</v>
      </c>
      <c r="F325" t="s">
        <v>121</v>
      </c>
      <c r="G325" t="s">
        <v>94</v>
      </c>
      <c r="H325" t="s">
        <v>87</v>
      </c>
      <c r="I325" s="17">
        <v>3</v>
      </c>
      <c r="J325" s="16">
        <v>0.1</v>
      </c>
      <c r="K325" t="s">
        <v>119</v>
      </c>
      <c r="L325" t="s">
        <v>89</v>
      </c>
      <c r="M325" s="17">
        <v>4</v>
      </c>
      <c r="N325" t="str" cm="1">
        <f t="array" ref="N325">_xlfn.XLOOKUP(RawSalesTable5[[#This Row],[Product_Code]],ProductLookupTable[[#All],[Product_Code]],ProductLookupTable[[#All],[Product_Name]],"NOT FOUND")</f>
        <v>HD Webcam</v>
      </c>
      <c r="O325" t="str" cm="1">
        <f t="array" ref="O325">_xlfn.XLOOKUP(RawSalesTable5[[#This Row],[Product_Code]],ProductLookupTable[[#All],[Product_Code]],ProductLookupTable[[#All],[Category]],"NOT FOUND")</f>
        <v>Accessories</v>
      </c>
      <c r="P325" cm="1">
        <f t="array" ref="P325">_xlfn.XLOOKUP(RawSalesTable5[[#This Row],[Product_Code]],ProductLookupTable[[#All],[Product_Code]],ProductLookupTable[[#All],[Unit_Price]],"NOT FOUND")</f>
        <v>2899</v>
      </c>
      <c r="Q325" t="str">
        <f>IF(COUNTIF(ProductLookupTable[Product_Code],RawSalesTable5[[#This Row],[Product_Code]])=0,"Missing Product","OK")</f>
        <v>OK</v>
      </c>
      <c r="R325" cm="1">
        <f t="array" ref="R325">_xlfn.XLOOKUP(RawSalesTable5[[#This Row],[Product_Code]],ProductLookupTable[[#All],[Product_Code]],ProductLookupTable[[#All],[Unit_Cost]],"NOT FOUND")</f>
        <v>1700</v>
      </c>
      <c r="S325">
        <f>IFERROR(RawSalesTable5[[#This Row],[Quantity]]*RawSalesTable5[[#This Row],[Unit_Price]],"NOT FOUND")</f>
        <v>8697</v>
      </c>
      <c r="T325">
        <f>IFERROR(RawSalesTable5[[#This Row],[Gross_Revenue]]*RawSalesTable5[[#This Row],[Discount_Pct]],"NOT FOUND")</f>
        <v>869.7</v>
      </c>
      <c r="U325">
        <f>IFERROR(RawSalesTable5[[#This Row],[Gross_Revenue]]-RawSalesTable5[[#This Row],[Discount_Value]],"NOT FOUND")</f>
        <v>7827.3</v>
      </c>
      <c r="V325">
        <f>IFERROR(RawSalesTable5[[#This Row],[Quantity]]*RawSalesTable5[[#This Row],[Unit_Cost]],"NOT FOUND")</f>
        <v>5100</v>
      </c>
      <c r="W325">
        <f>IFERROR(RawSalesTable5[[#This Row],[Net_Revenue]]-RawSalesTable5[[#This Row],[Cost]],"NOT FOUND")</f>
        <v>2727.3</v>
      </c>
      <c r="X325" s="27">
        <f>IF(RawSalesTable5[[#This Row],[Lookup_Status]]="Missing Product","",IFERROR(RawSalesTable5[[#This Row],[Profit]]/RawSalesTable5[[#This Row],[Net_Revenue]],0))</f>
        <v>0.34843432601280139</v>
      </c>
      <c r="Y325">
        <f>RawSalesTable5[[#This Row],[Ship_Date]]-RawSalesTable5[[#This Row],[Order_Date]]</f>
        <v>4</v>
      </c>
      <c r="Z325" s="28">
        <f>DATE(YEAR(RawSalesTable5[[#This Row],[Order_Date]]),MONTH(RawSalesTable5[[#This Row],[Order_Date]]),1)</f>
        <v>45962</v>
      </c>
      <c r="AA325" t="str" cm="1">
        <f t="array" ref="AA325">IF(RawSalesTable5[[#This Row],[Lookup_Status]]="Missing Product","",_xlfn.IFS(RawSalesTable5[[#This Row],[Net_Revenue]]&gt;=20000,"High",RawSalesTable5[[#This Row],[Net_Revenue]]&gt;=10000,"Medium",TRUE,"Low"))</f>
        <v>Low</v>
      </c>
    </row>
    <row r="326" spans="1:27">
      <c r="A326" t="s">
        <v>458</v>
      </c>
      <c r="B326" s="15">
        <v>45747</v>
      </c>
      <c r="C326" s="15">
        <v>45749</v>
      </c>
      <c r="D326" t="s">
        <v>123</v>
      </c>
      <c r="E326" t="s">
        <v>84</v>
      </c>
      <c r="F326" t="s">
        <v>154</v>
      </c>
      <c r="G326" t="s">
        <v>108</v>
      </c>
      <c r="H326" t="s">
        <v>86</v>
      </c>
      <c r="I326" s="17">
        <v>1</v>
      </c>
      <c r="J326" s="16">
        <v>0.2</v>
      </c>
      <c r="K326" t="s">
        <v>88</v>
      </c>
      <c r="L326" t="s">
        <v>89</v>
      </c>
      <c r="M326" s="17">
        <v>4</v>
      </c>
      <c r="N326" t="str" cm="1">
        <f t="array" ref="N326">_xlfn.XLOOKUP(RawSalesTable5[[#This Row],[Product_Code]],ProductLookupTable[[#All],[Product_Code]],ProductLookupTable[[#All],[Product_Name]],"NOT FOUND")</f>
        <v>Laptop Stand</v>
      </c>
      <c r="O326" t="str" cm="1">
        <f t="array" ref="O326">_xlfn.XLOOKUP(RawSalesTable5[[#This Row],[Product_Code]],ProductLookupTable[[#All],[Product_Code]],ProductLookupTable[[#All],[Category]],"NOT FOUND")</f>
        <v>Accessories</v>
      </c>
      <c r="P326" cm="1">
        <f t="array" ref="P326">_xlfn.XLOOKUP(RawSalesTable5[[#This Row],[Product_Code]],ProductLookupTable[[#All],[Product_Code]],ProductLookupTable[[#All],[Unit_Price]],"NOT FOUND")</f>
        <v>1899</v>
      </c>
      <c r="Q326" t="str">
        <f>IF(COUNTIF(ProductLookupTable[Product_Code],RawSalesTable5[[#This Row],[Product_Code]])=0,"Missing Product","OK")</f>
        <v>OK</v>
      </c>
      <c r="R326" cm="1">
        <f t="array" ref="R326">_xlfn.XLOOKUP(RawSalesTable5[[#This Row],[Product_Code]],ProductLookupTable[[#All],[Product_Code]],ProductLookupTable[[#All],[Unit_Cost]],"NOT FOUND")</f>
        <v>980</v>
      </c>
      <c r="S326">
        <f>IFERROR(RawSalesTable5[[#This Row],[Quantity]]*RawSalesTable5[[#This Row],[Unit_Price]],"NOT FOUND")</f>
        <v>1899</v>
      </c>
      <c r="T326">
        <f>IFERROR(RawSalesTable5[[#This Row],[Gross_Revenue]]*RawSalesTable5[[#This Row],[Discount_Pct]],"NOT FOUND")</f>
        <v>379.8</v>
      </c>
      <c r="U326">
        <f>IFERROR(RawSalesTable5[[#This Row],[Gross_Revenue]]-RawSalesTable5[[#This Row],[Discount_Value]],"NOT FOUND")</f>
        <v>1519.2</v>
      </c>
      <c r="V326">
        <f>IFERROR(RawSalesTable5[[#This Row],[Quantity]]*RawSalesTable5[[#This Row],[Unit_Cost]],"NOT FOUND")</f>
        <v>980</v>
      </c>
      <c r="W326">
        <f>IFERROR(RawSalesTable5[[#This Row],[Net_Revenue]]-RawSalesTable5[[#This Row],[Cost]],"NOT FOUND")</f>
        <v>539.20000000000005</v>
      </c>
      <c r="X326" s="27">
        <f>IF(RawSalesTable5[[#This Row],[Lookup_Status]]="Missing Product","",IFERROR(RawSalesTable5[[#This Row],[Profit]]/RawSalesTable5[[#This Row],[Net_Revenue]],0))</f>
        <v>0.35492364402317012</v>
      </c>
      <c r="Y326">
        <f>RawSalesTable5[[#This Row],[Ship_Date]]-RawSalesTable5[[#This Row],[Order_Date]]</f>
        <v>2</v>
      </c>
      <c r="Z326" s="28">
        <f>DATE(YEAR(RawSalesTable5[[#This Row],[Order_Date]]),MONTH(RawSalesTable5[[#This Row],[Order_Date]]),1)</f>
        <v>45717</v>
      </c>
      <c r="AA326" t="str" cm="1">
        <f t="array" ref="AA326">IF(RawSalesTable5[[#This Row],[Lookup_Status]]="Missing Product","",_xlfn.IFS(RawSalesTable5[[#This Row],[Net_Revenue]]&gt;=20000,"High",RawSalesTable5[[#This Row],[Net_Revenue]]&gt;=10000,"Medium",TRUE,"Low"))</f>
        <v>Low</v>
      </c>
    </row>
    <row r="327" spans="1:27">
      <c r="A327" t="s">
        <v>459</v>
      </c>
      <c r="B327" s="15">
        <v>45935</v>
      </c>
      <c r="C327" s="15">
        <v>45939</v>
      </c>
      <c r="D327" t="s">
        <v>83</v>
      </c>
      <c r="E327" t="s">
        <v>92</v>
      </c>
      <c r="F327" t="s">
        <v>124</v>
      </c>
      <c r="G327" t="s">
        <v>94</v>
      </c>
      <c r="H327" t="s">
        <v>103</v>
      </c>
      <c r="I327" s="17">
        <v>2</v>
      </c>
      <c r="J327" s="16">
        <v>0</v>
      </c>
      <c r="K327" t="s">
        <v>140</v>
      </c>
      <c r="L327" t="s">
        <v>89</v>
      </c>
      <c r="M327" s="17">
        <v>5</v>
      </c>
      <c r="N327" t="str" cm="1">
        <f t="array" ref="N327">_xlfn.XLOOKUP(RawSalesTable5[[#This Row],[Product_Code]],ProductLookupTable[[#All],[Product_Code]],ProductLookupTable[[#All],[Product_Name]],"NOT FOUND")</f>
        <v>Wireless Mouse</v>
      </c>
      <c r="O327" t="str" cm="1">
        <f t="array" ref="O327">_xlfn.XLOOKUP(RawSalesTable5[[#This Row],[Product_Code]],ProductLookupTable[[#All],[Product_Code]],ProductLookupTable[[#All],[Category]],"NOT FOUND")</f>
        <v>Accessories</v>
      </c>
      <c r="P327" cm="1">
        <f t="array" ref="P327">_xlfn.XLOOKUP(RawSalesTable5[[#This Row],[Product_Code]],ProductLookupTable[[#All],[Product_Code]],ProductLookupTable[[#All],[Unit_Price]],"NOT FOUND")</f>
        <v>799</v>
      </c>
      <c r="Q327" t="str">
        <f>IF(COUNTIF(ProductLookupTable[Product_Code],RawSalesTable5[[#This Row],[Product_Code]])=0,"Missing Product","OK")</f>
        <v>OK</v>
      </c>
      <c r="R327" cm="1">
        <f t="array" ref="R327">_xlfn.XLOOKUP(RawSalesTable5[[#This Row],[Product_Code]],ProductLookupTable[[#All],[Product_Code]],ProductLookupTable[[#All],[Unit_Cost]],"NOT FOUND")</f>
        <v>420</v>
      </c>
      <c r="S327">
        <f>IFERROR(RawSalesTable5[[#This Row],[Quantity]]*RawSalesTable5[[#This Row],[Unit_Price]],"NOT FOUND")</f>
        <v>1598</v>
      </c>
      <c r="T327">
        <f>IFERROR(RawSalesTable5[[#This Row],[Gross_Revenue]]*RawSalesTable5[[#This Row],[Discount_Pct]],"NOT FOUND")</f>
        <v>0</v>
      </c>
      <c r="U327">
        <f>IFERROR(RawSalesTable5[[#This Row],[Gross_Revenue]]-RawSalesTable5[[#This Row],[Discount_Value]],"NOT FOUND")</f>
        <v>1598</v>
      </c>
      <c r="V327">
        <f>IFERROR(RawSalesTable5[[#This Row],[Quantity]]*RawSalesTable5[[#This Row],[Unit_Cost]],"NOT FOUND")</f>
        <v>840</v>
      </c>
      <c r="W327">
        <f>IFERROR(RawSalesTable5[[#This Row],[Net_Revenue]]-RawSalesTable5[[#This Row],[Cost]],"NOT FOUND")</f>
        <v>758</v>
      </c>
      <c r="X327" s="27">
        <f>IF(RawSalesTable5[[#This Row],[Lookup_Status]]="Missing Product","",IFERROR(RawSalesTable5[[#This Row],[Profit]]/RawSalesTable5[[#This Row],[Net_Revenue]],0))</f>
        <v>0.47434292866082606</v>
      </c>
      <c r="Y327">
        <f>RawSalesTable5[[#This Row],[Ship_Date]]-RawSalesTable5[[#This Row],[Order_Date]]</f>
        <v>4</v>
      </c>
      <c r="Z327" s="28">
        <f>DATE(YEAR(RawSalesTable5[[#This Row],[Order_Date]]),MONTH(RawSalesTable5[[#This Row],[Order_Date]]),1)</f>
        <v>45931</v>
      </c>
      <c r="AA327" t="str" cm="1">
        <f t="array" ref="AA327">IF(RawSalesTable5[[#This Row],[Lookup_Status]]="Missing Product","",_xlfn.IFS(RawSalesTable5[[#This Row],[Net_Revenue]]&gt;=20000,"High",RawSalesTable5[[#This Row],[Net_Revenue]]&gt;=10000,"Medium",TRUE,"Low"))</f>
        <v>Low</v>
      </c>
    </row>
    <row r="328" spans="1:27">
      <c r="A328" t="s">
        <v>460</v>
      </c>
      <c r="B328" s="15">
        <v>45969</v>
      </c>
      <c r="C328" s="15">
        <v>45977</v>
      </c>
      <c r="D328" t="s">
        <v>114</v>
      </c>
      <c r="E328" t="s">
        <v>98</v>
      </c>
      <c r="F328" t="s">
        <v>154</v>
      </c>
      <c r="G328" t="s">
        <v>94</v>
      </c>
      <c r="H328" t="s">
        <v>87</v>
      </c>
      <c r="I328" s="17">
        <v>3</v>
      </c>
      <c r="J328" s="16">
        <v>0.1</v>
      </c>
      <c r="K328" t="s">
        <v>95</v>
      </c>
      <c r="L328" t="s">
        <v>89</v>
      </c>
      <c r="M328" s="17">
        <v>3</v>
      </c>
      <c r="N328" t="str" cm="1">
        <f t="array" ref="N328">_xlfn.XLOOKUP(RawSalesTable5[[#This Row],[Product_Code]],ProductLookupTable[[#All],[Product_Code]],ProductLookupTable[[#All],[Product_Name]],"NOT FOUND")</f>
        <v>Laptop Stand</v>
      </c>
      <c r="O328" t="str" cm="1">
        <f t="array" ref="O328">_xlfn.XLOOKUP(RawSalesTable5[[#This Row],[Product_Code]],ProductLookupTable[[#All],[Product_Code]],ProductLookupTable[[#All],[Category]],"NOT FOUND")</f>
        <v>Accessories</v>
      </c>
      <c r="P328" cm="1">
        <f t="array" ref="P328">_xlfn.XLOOKUP(RawSalesTable5[[#This Row],[Product_Code]],ProductLookupTable[[#All],[Product_Code]],ProductLookupTable[[#All],[Unit_Price]],"NOT FOUND")</f>
        <v>1899</v>
      </c>
      <c r="Q328" t="str">
        <f>IF(COUNTIF(ProductLookupTable[Product_Code],RawSalesTable5[[#This Row],[Product_Code]])=0,"Missing Product","OK")</f>
        <v>OK</v>
      </c>
      <c r="R328" cm="1">
        <f t="array" ref="R328">_xlfn.XLOOKUP(RawSalesTable5[[#This Row],[Product_Code]],ProductLookupTable[[#All],[Product_Code]],ProductLookupTable[[#All],[Unit_Cost]],"NOT FOUND")</f>
        <v>980</v>
      </c>
      <c r="S328">
        <f>IFERROR(RawSalesTable5[[#This Row],[Quantity]]*RawSalesTable5[[#This Row],[Unit_Price]],"NOT FOUND")</f>
        <v>5697</v>
      </c>
      <c r="T328">
        <f>IFERROR(RawSalesTable5[[#This Row],[Gross_Revenue]]*RawSalesTable5[[#This Row],[Discount_Pct]],"NOT FOUND")</f>
        <v>569.70000000000005</v>
      </c>
      <c r="U328">
        <f>IFERROR(RawSalesTable5[[#This Row],[Gross_Revenue]]-RawSalesTable5[[#This Row],[Discount_Value]],"NOT FOUND")</f>
        <v>5127.3</v>
      </c>
      <c r="V328">
        <f>IFERROR(RawSalesTable5[[#This Row],[Quantity]]*RawSalesTable5[[#This Row],[Unit_Cost]],"NOT FOUND")</f>
        <v>2940</v>
      </c>
      <c r="W328">
        <f>IFERROR(RawSalesTable5[[#This Row],[Net_Revenue]]-RawSalesTable5[[#This Row],[Cost]],"NOT FOUND")</f>
        <v>2187.3000000000002</v>
      </c>
      <c r="X328" s="27">
        <f>IF(RawSalesTable5[[#This Row],[Lookup_Status]]="Missing Product","",IFERROR(RawSalesTable5[[#This Row],[Profit]]/RawSalesTable5[[#This Row],[Net_Revenue]],0))</f>
        <v>0.42659879468726231</v>
      </c>
      <c r="Y328">
        <f>RawSalesTable5[[#This Row],[Ship_Date]]-RawSalesTable5[[#This Row],[Order_Date]]</f>
        <v>8</v>
      </c>
      <c r="Z328" s="28">
        <f>DATE(YEAR(RawSalesTable5[[#This Row],[Order_Date]]),MONTH(RawSalesTable5[[#This Row],[Order_Date]]),1)</f>
        <v>45962</v>
      </c>
      <c r="AA328" t="str" cm="1">
        <f t="array" ref="AA328">IF(RawSalesTable5[[#This Row],[Lookup_Status]]="Missing Product","",_xlfn.IFS(RawSalesTable5[[#This Row],[Net_Revenue]]&gt;=20000,"High",RawSalesTable5[[#This Row],[Net_Revenue]]&gt;=10000,"Medium",TRUE,"Low"))</f>
        <v>Low</v>
      </c>
    </row>
    <row r="329" spans="1:27">
      <c r="A329" t="s">
        <v>461</v>
      </c>
      <c r="B329" s="15">
        <v>45964</v>
      </c>
      <c r="C329" s="15">
        <v>45971</v>
      </c>
      <c r="D329" t="s">
        <v>531</v>
      </c>
      <c r="E329" t="s">
        <v>101</v>
      </c>
      <c r="F329" t="s">
        <v>124</v>
      </c>
      <c r="G329" t="s">
        <v>94</v>
      </c>
      <c r="H329" t="s">
        <v>86</v>
      </c>
      <c r="I329" s="17">
        <v>2</v>
      </c>
      <c r="J329" s="16">
        <v>0.1</v>
      </c>
      <c r="K329" t="s">
        <v>119</v>
      </c>
      <c r="L329" t="s">
        <v>89</v>
      </c>
      <c r="M329" s="17">
        <v>3</v>
      </c>
      <c r="N329" t="str" cm="1">
        <f t="array" ref="N329">_xlfn.XLOOKUP(RawSalesTable5[[#This Row],[Product_Code]],ProductLookupTable[[#All],[Product_Code]],ProductLookupTable[[#All],[Product_Name]],"NOT FOUND")</f>
        <v>Wireless Mouse</v>
      </c>
      <c r="O329" t="str" cm="1">
        <f t="array" ref="O329">_xlfn.XLOOKUP(RawSalesTable5[[#This Row],[Product_Code]],ProductLookupTable[[#All],[Product_Code]],ProductLookupTable[[#All],[Category]],"NOT FOUND")</f>
        <v>Accessories</v>
      </c>
      <c r="P329" cm="1">
        <f t="array" ref="P329">_xlfn.XLOOKUP(RawSalesTable5[[#This Row],[Product_Code]],ProductLookupTable[[#All],[Product_Code]],ProductLookupTable[[#All],[Unit_Price]],"NOT FOUND")</f>
        <v>799</v>
      </c>
      <c r="Q329" t="str">
        <f>IF(COUNTIF(ProductLookupTable[Product_Code],RawSalesTable5[[#This Row],[Product_Code]])=0,"Missing Product","OK")</f>
        <v>OK</v>
      </c>
      <c r="R329" cm="1">
        <f t="array" ref="R329">_xlfn.XLOOKUP(RawSalesTable5[[#This Row],[Product_Code]],ProductLookupTable[[#All],[Product_Code]],ProductLookupTable[[#All],[Unit_Cost]],"NOT FOUND")</f>
        <v>420</v>
      </c>
      <c r="S329">
        <f>IFERROR(RawSalesTable5[[#This Row],[Quantity]]*RawSalesTable5[[#This Row],[Unit_Price]],"NOT FOUND")</f>
        <v>1598</v>
      </c>
      <c r="T329">
        <f>IFERROR(RawSalesTable5[[#This Row],[Gross_Revenue]]*RawSalesTable5[[#This Row],[Discount_Pct]],"NOT FOUND")</f>
        <v>159.80000000000001</v>
      </c>
      <c r="U329">
        <f>IFERROR(RawSalesTable5[[#This Row],[Gross_Revenue]]-RawSalesTable5[[#This Row],[Discount_Value]],"NOT FOUND")</f>
        <v>1438.2</v>
      </c>
      <c r="V329">
        <f>IFERROR(RawSalesTable5[[#This Row],[Quantity]]*RawSalesTable5[[#This Row],[Unit_Cost]],"NOT FOUND")</f>
        <v>840</v>
      </c>
      <c r="W329">
        <f>IFERROR(RawSalesTable5[[#This Row],[Net_Revenue]]-RawSalesTable5[[#This Row],[Cost]],"NOT FOUND")</f>
        <v>598.20000000000005</v>
      </c>
      <c r="X329" s="27">
        <f>IF(RawSalesTable5[[#This Row],[Lookup_Status]]="Missing Product","",IFERROR(RawSalesTable5[[#This Row],[Profit]]/RawSalesTable5[[#This Row],[Net_Revenue]],0))</f>
        <v>0.41593658740091782</v>
      </c>
      <c r="Y329">
        <f>RawSalesTable5[[#This Row],[Ship_Date]]-RawSalesTable5[[#This Row],[Order_Date]]</f>
        <v>7</v>
      </c>
      <c r="Z329" s="28">
        <f>DATE(YEAR(RawSalesTable5[[#This Row],[Order_Date]]),MONTH(RawSalesTable5[[#This Row],[Order_Date]]),1)</f>
        <v>45962</v>
      </c>
      <c r="AA329" t="str" cm="1">
        <f t="array" ref="AA329">IF(RawSalesTable5[[#This Row],[Lookup_Status]]="Missing Product","",_xlfn.IFS(RawSalesTable5[[#This Row],[Net_Revenue]]&gt;=20000,"High",RawSalesTable5[[#This Row],[Net_Revenue]]&gt;=10000,"Medium",TRUE,"Low"))</f>
        <v>Low</v>
      </c>
    </row>
    <row r="330" spans="1:27">
      <c r="A330" t="s">
        <v>462</v>
      </c>
      <c r="B330" s="15">
        <v>45783</v>
      </c>
      <c r="C330" s="15">
        <v>45784</v>
      </c>
      <c r="D330" t="s">
        <v>212</v>
      </c>
      <c r="E330" t="s">
        <v>106</v>
      </c>
      <c r="F330" t="s">
        <v>102</v>
      </c>
      <c r="G330" t="s">
        <v>94</v>
      </c>
      <c r="H330" t="s">
        <v>87</v>
      </c>
      <c r="I330" s="17">
        <v>5</v>
      </c>
      <c r="J330" s="16">
        <v>0.1</v>
      </c>
      <c r="K330" t="s">
        <v>112</v>
      </c>
      <c r="L330" t="s">
        <v>89</v>
      </c>
      <c r="M330" s="17">
        <v>4</v>
      </c>
      <c r="N330" t="str" cm="1">
        <f t="array" ref="N330">_xlfn.XLOOKUP(RawSalesTable5[[#This Row],[Product_Code]],ProductLookupTable[[#All],[Product_Code]],ProductLookupTable[[#All],[Product_Name]],"NOT FOUND")</f>
        <v>SSD 1TB</v>
      </c>
      <c r="O330" t="str" cm="1">
        <f t="array" ref="O330">_xlfn.XLOOKUP(RawSalesTable5[[#This Row],[Product_Code]],ProductLookupTable[[#All],[Product_Code]],ProductLookupTable[[#All],[Category]],"NOT FOUND")</f>
        <v>Storage</v>
      </c>
      <c r="P330" cm="1">
        <f t="array" ref="P330">_xlfn.XLOOKUP(RawSalesTable5[[#This Row],[Product_Code]],ProductLookupTable[[#All],[Product_Code]],ProductLookupTable[[#All],[Unit_Price]],"NOT FOUND")</f>
        <v>6999</v>
      </c>
      <c r="Q330" t="str">
        <f>IF(COUNTIF(ProductLookupTable[Product_Code],RawSalesTable5[[#This Row],[Product_Code]])=0,"Missing Product","OK")</f>
        <v>OK</v>
      </c>
      <c r="R330" cm="1">
        <f t="array" ref="R330">_xlfn.XLOOKUP(RawSalesTable5[[#This Row],[Product_Code]],ProductLookupTable[[#All],[Product_Code]],ProductLookupTable[[#All],[Unit_Cost]],"NOT FOUND")</f>
        <v>4900</v>
      </c>
      <c r="S330">
        <f>IFERROR(RawSalesTable5[[#This Row],[Quantity]]*RawSalesTable5[[#This Row],[Unit_Price]],"NOT FOUND")</f>
        <v>34995</v>
      </c>
      <c r="T330">
        <f>IFERROR(RawSalesTable5[[#This Row],[Gross_Revenue]]*RawSalesTable5[[#This Row],[Discount_Pct]],"NOT FOUND")</f>
        <v>3499.5</v>
      </c>
      <c r="U330">
        <f>IFERROR(RawSalesTable5[[#This Row],[Gross_Revenue]]-RawSalesTable5[[#This Row],[Discount_Value]],"NOT FOUND")</f>
        <v>31495.5</v>
      </c>
      <c r="V330">
        <f>IFERROR(RawSalesTable5[[#This Row],[Quantity]]*RawSalesTable5[[#This Row],[Unit_Cost]],"NOT FOUND")</f>
        <v>24500</v>
      </c>
      <c r="W330">
        <f>IFERROR(RawSalesTable5[[#This Row],[Net_Revenue]]-RawSalesTable5[[#This Row],[Cost]],"NOT FOUND")</f>
        <v>6995.5</v>
      </c>
      <c r="X330" s="27">
        <f>IF(RawSalesTable5[[#This Row],[Lookup_Status]]="Missing Product","",IFERROR(RawSalesTable5[[#This Row],[Profit]]/RawSalesTable5[[#This Row],[Net_Revenue]],0))</f>
        <v>0.22211109523582734</v>
      </c>
      <c r="Y330">
        <f>RawSalesTable5[[#This Row],[Ship_Date]]-RawSalesTable5[[#This Row],[Order_Date]]</f>
        <v>1</v>
      </c>
      <c r="Z330" s="28">
        <f>DATE(YEAR(RawSalesTable5[[#This Row],[Order_Date]]),MONTH(RawSalesTable5[[#This Row],[Order_Date]]),1)</f>
        <v>45778</v>
      </c>
      <c r="AA330" t="str" cm="1">
        <f t="array" ref="AA330">IF(RawSalesTable5[[#This Row],[Lookup_Status]]="Missing Product","",_xlfn.IFS(RawSalesTable5[[#This Row],[Net_Revenue]]&gt;=20000,"High",RawSalesTable5[[#This Row],[Net_Revenue]]&gt;=10000,"Medium",TRUE,"Low"))</f>
        <v>High</v>
      </c>
    </row>
    <row r="331" spans="1:27">
      <c r="A331" t="s">
        <v>463</v>
      </c>
      <c r="B331" s="15">
        <v>45864</v>
      </c>
      <c r="C331" s="15">
        <v>45871</v>
      </c>
      <c r="D331" t="s">
        <v>123</v>
      </c>
      <c r="E331" t="s">
        <v>111</v>
      </c>
      <c r="F331" t="s">
        <v>124</v>
      </c>
      <c r="G331" t="s">
        <v>108</v>
      </c>
      <c r="H331" t="s">
        <v>103</v>
      </c>
      <c r="I331" s="17">
        <v>1</v>
      </c>
      <c r="J331" s="16">
        <v>0.05</v>
      </c>
      <c r="K331" t="s">
        <v>112</v>
      </c>
      <c r="L331" t="s">
        <v>89</v>
      </c>
      <c r="M331" s="17">
        <v>4</v>
      </c>
      <c r="N331" t="str" cm="1">
        <f t="array" ref="N331">_xlfn.XLOOKUP(RawSalesTable5[[#This Row],[Product_Code]],ProductLookupTable[[#All],[Product_Code]],ProductLookupTable[[#All],[Product_Name]],"NOT FOUND")</f>
        <v>Wireless Mouse</v>
      </c>
      <c r="O331" t="str" cm="1">
        <f t="array" ref="O331">_xlfn.XLOOKUP(RawSalesTable5[[#This Row],[Product_Code]],ProductLookupTable[[#All],[Product_Code]],ProductLookupTable[[#All],[Category]],"NOT FOUND")</f>
        <v>Accessories</v>
      </c>
      <c r="P331" cm="1">
        <f t="array" ref="P331">_xlfn.XLOOKUP(RawSalesTable5[[#This Row],[Product_Code]],ProductLookupTable[[#All],[Product_Code]],ProductLookupTable[[#All],[Unit_Price]],"NOT FOUND")</f>
        <v>799</v>
      </c>
      <c r="Q331" t="str">
        <f>IF(COUNTIF(ProductLookupTable[Product_Code],RawSalesTable5[[#This Row],[Product_Code]])=0,"Missing Product","OK")</f>
        <v>OK</v>
      </c>
      <c r="R331" cm="1">
        <f t="array" ref="R331">_xlfn.XLOOKUP(RawSalesTable5[[#This Row],[Product_Code]],ProductLookupTable[[#All],[Product_Code]],ProductLookupTable[[#All],[Unit_Cost]],"NOT FOUND")</f>
        <v>420</v>
      </c>
      <c r="S331">
        <f>IFERROR(RawSalesTable5[[#This Row],[Quantity]]*RawSalesTable5[[#This Row],[Unit_Price]],"NOT FOUND")</f>
        <v>799</v>
      </c>
      <c r="T331">
        <f>IFERROR(RawSalesTable5[[#This Row],[Gross_Revenue]]*RawSalesTable5[[#This Row],[Discount_Pct]],"NOT FOUND")</f>
        <v>39.950000000000003</v>
      </c>
      <c r="U331">
        <f>IFERROR(RawSalesTable5[[#This Row],[Gross_Revenue]]-RawSalesTable5[[#This Row],[Discount_Value]],"NOT FOUND")</f>
        <v>759.05</v>
      </c>
      <c r="V331">
        <f>IFERROR(RawSalesTable5[[#This Row],[Quantity]]*RawSalesTable5[[#This Row],[Unit_Cost]],"NOT FOUND")</f>
        <v>420</v>
      </c>
      <c r="W331">
        <f>IFERROR(RawSalesTable5[[#This Row],[Net_Revenue]]-RawSalesTable5[[#This Row],[Cost]],"NOT FOUND")</f>
        <v>339.04999999999995</v>
      </c>
      <c r="X331" s="27">
        <f>IF(RawSalesTable5[[#This Row],[Lookup_Status]]="Missing Product","",IFERROR(RawSalesTable5[[#This Row],[Profit]]/RawSalesTable5[[#This Row],[Net_Revenue]],0))</f>
        <v>0.4466767670113958</v>
      </c>
      <c r="Y331">
        <f>RawSalesTable5[[#This Row],[Ship_Date]]-RawSalesTable5[[#This Row],[Order_Date]]</f>
        <v>7</v>
      </c>
      <c r="Z331" s="28">
        <f>DATE(YEAR(RawSalesTable5[[#This Row],[Order_Date]]),MONTH(RawSalesTable5[[#This Row],[Order_Date]]),1)</f>
        <v>45839</v>
      </c>
      <c r="AA331" t="str" cm="1">
        <f t="array" ref="AA331">IF(RawSalesTable5[[#This Row],[Lookup_Status]]="Missing Product","",_xlfn.IFS(RawSalesTable5[[#This Row],[Net_Revenue]]&gt;=20000,"High",RawSalesTable5[[#This Row],[Net_Revenue]]&gt;=10000,"Medium",TRUE,"Low"))</f>
        <v>Low</v>
      </c>
    </row>
    <row r="332" spans="1:27">
      <c r="A332" t="s">
        <v>464</v>
      </c>
      <c r="B332" s="15">
        <v>45887</v>
      </c>
      <c r="C332" s="15">
        <v>45894</v>
      </c>
      <c r="D332" t="s">
        <v>83</v>
      </c>
      <c r="E332" t="s">
        <v>84</v>
      </c>
      <c r="F332" t="s">
        <v>85</v>
      </c>
      <c r="G332" t="s">
        <v>108</v>
      </c>
      <c r="H332" t="s">
        <v>103</v>
      </c>
      <c r="I332" s="17">
        <v>2</v>
      </c>
      <c r="J332" s="16">
        <v>0.1</v>
      </c>
      <c r="K332" t="s">
        <v>112</v>
      </c>
      <c r="L332" t="s">
        <v>89</v>
      </c>
      <c r="M332" s="17">
        <v>4</v>
      </c>
      <c r="N332" t="str" cm="1">
        <f t="array" ref="N332">_xlfn.XLOOKUP(RawSalesTable5[[#This Row],[Product_Code]],ProductLookupTable[[#All],[Product_Code]],ProductLookupTable[[#All],[Product_Name]],"NOT FOUND")</f>
        <v>Ergonomic Chair</v>
      </c>
      <c r="O332" t="str" cm="1">
        <f t="array" ref="O332">_xlfn.XLOOKUP(RawSalesTable5[[#This Row],[Product_Code]],ProductLookupTable[[#All],[Product_Code]],ProductLookupTable[[#All],[Category]],"NOT FOUND")</f>
        <v>Furniture</v>
      </c>
      <c r="P332" cm="1">
        <f t="array" ref="P332">_xlfn.XLOOKUP(RawSalesTable5[[#This Row],[Product_Code]],ProductLookupTable[[#All],[Product_Code]],ProductLookupTable[[#All],[Unit_Price]],"NOT FOUND")</f>
        <v>10499</v>
      </c>
      <c r="Q332" t="str">
        <f>IF(COUNTIF(ProductLookupTable[Product_Code],RawSalesTable5[[#This Row],[Product_Code]])=0,"Missing Product","OK")</f>
        <v>OK</v>
      </c>
      <c r="R332" cm="1">
        <f t="array" ref="R332">_xlfn.XLOOKUP(RawSalesTable5[[#This Row],[Product_Code]],ProductLookupTable[[#All],[Product_Code]],ProductLookupTable[[#All],[Unit_Cost]],"NOT FOUND")</f>
        <v>7600</v>
      </c>
      <c r="S332">
        <f>IFERROR(RawSalesTable5[[#This Row],[Quantity]]*RawSalesTable5[[#This Row],[Unit_Price]],"NOT FOUND")</f>
        <v>20998</v>
      </c>
      <c r="T332">
        <f>IFERROR(RawSalesTable5[[#This Row],[Gross_Revenue]]*RawSalesTable5[[#This Row],[Discount_Pct]],"NOT FOUND")</f>
        <v>2099.8000000000002</v>
      </c>
      <c r="U332">
        <f>IFERROR(RawSalesTable5[[#This Row],[Gross_Revenue]]-RawSalesTable5[[#This Row],[Discount_Value]],"NOT FOUND")</f>
        <v>18898.2</v>
      </c>
      <c r="V332">
        <f>IFERROR(RawSalesTable5[[#This Row],[Quantity]]*RawSalesTable5[[#This Row],[Unit_Cost]],"NOT FOUND")</f>
        <v>15200</v>
      </c>
      <c r="W332">
        <f>IFERROR(RawSalesTable5[[#This Row],[Net_Revenue]]-RawSalesTable5[[#This Row],[Cost]],"NOT FOUND")</f>
        <v>3698.2000000000007</v>
      </c>
      <c r="X332" s="27">
        <f>IF(RawSalesTable5[[#This Row],[Lookup_Status]]="Missing Product","",IFERROR(RawSalesTable5[[#This Row],[Profit]]/RawSalesTable5[[#This Row],[Net_Revenue]],0))</f>
        <v>0.19569059487146928</v>
      </c>
      <c r="Y332">
        <f>RawSalesTable5[[#This Row],[Ship_Date]]-RawSalesTable5[[#This Row],[Order_Date]]</f>
        <v>7</v>
      </c>
      <c r="Z332" s="28">
        <f>DATE(YEAR(RawSalesTable5[[#This Row],[Order_Date]]),MONTH(RawSalesTable5[[#This Row],[Order_Date]]),1)</f>
        <v>45870</v>
      </c>
      <c r="AA332" t="str" cm="1">
        <f t="array" ref="AA332">IF(RawSalesTable5[[#This Row],[Lookup_Status]]="Missing Product","",_xlfn.IFS(RawSalesTable5[[#This Row],[Net_Revenue]]&gt;=20000,"High",RawSalesTable5[[#This Row],[Net_Revenue]]&gt;=10000,"Medium",TRUE,"Low"))</f>
        <v>Medium</v>
      </c>
    </row>
    <row r="333" spans="1:27">
      <c r="A333" t="s">
        <v>465</v>
      </c>
      <c r="B333" s="15">
        <v>45930</v>
      </c>
      <c r="C333" s="15">
        <v>45931</v>
      </c>
      <c r="D333" t="s">
        <v>114</v>
      </c>
      <c r="E333" t="s">
        <v>92</v>
      </c>
      <c r="F333" t="s">
        <v>124</v>
      </c>
      <c r="G333" t="s">
        <v>108</v>
      </c>
      <c r="H333" t="s">
        <v>103</v>
      </c>
      <c r="I333" s="17">
        <v>5</v>
      </c>
      <c r="J333" s="16">
        <v>0</v>
      </c>
      <c r="K333" t="s">
        <v>95</v>
      </c>
      <c r="L333" t="s">
        <v>89</v>
      </c>
      <c r="M333" s="17">
        <v>3</v>
      </c>
      <c r="N333" t="str" cm="1">
        <f t="array" ref="N333">_xlfn.XLOOKUP(RawSalesTable5[[#This Row],[Product_Code]],ProductLookupTable[[#All],[Product_Code]],ProductLookupTable[[#All],[Product_Name]],"NOT FOUND")</f>
        <v>Wireless Mouse</v>
      </c>
      <c r="O333" t="str" cm="1">
        <f t="array" ref="O333">_xlfn.XLOOKUP(RawSalesTable5[[#This Row],[Product_Code]],ProductLookupTable[[#All],[Product_Code]],ProductLookupTable[[#All],[Category]],"NOT FOUND")</f>
        <v>Accessories</v>
      </c>
      <c r="P333" cm="1">
        <f t="array" ref="P333">_xlfn.XLOOKUP(RawSalesTable5[[#This Row],[Product_Code]],ProductLookupTable[[#All],[Product_Code]],ProductLookupTable[[#All],[Unit_Price]],"NOT FOUND")</f>
        <v>799</v>
      </c>
      <c r="Q333" t="str">
        <f>IF(COUNTIF(ProductLookupTable[Product_Code],RawSalesTable5[[#This Row],[Product_Code]])=0,"Missing Product","OK")</f>
        <v>OK</v>
      </c>
      <c r="R333" cm="1">
        <f t="array" ref="R333">_xlfn.XLOOKUP(RawSalesTable5[[#This Row],[Product_Code]],ProductLookupTable[[#All],[Product_Code]],ProductLookupTable[[#All],[Unit_Cost]],"NOT FOUND")</f>
        <v>420</v>
      </c>
      <c r="S333">
        <f>IFERROR(RawSalesTable5[[#This Row],[Quantity]]*RawSalesTable5[[#This Row],[Unit_Price]],"NOT FOUND")</f>
        <v>3995</v>
      </c>
      <c r="T333">
        <f>IFERROR(RawSalesTable5[[#This Row],[Gross_Revenue]]*RawSalesTable5[[#This Row],[Discount_Pct]],"NOT FOUND")</f>
        <v>0</v>
      </c>
      <c r="U333">
        <f>IFERROR(RawSalesTable5[[#This Row],[Gross_Revenue]]-RawSalesTable5[[#This Row],[Discount_Value]],"NOT FOUND")</f>
        <v>3995</v>
      </c>
      <c r="V333">
        <f>IFERROR(RawSalesTable5[[#This Row],[Quantity]]*RawSalesTable5[[#This Row],[Unit_Cost]],"NOT FOUND")</f>
        <v>2100</v>
      </c>
      <c r="W333">
        <f>IFERROR(RawSalesTable5[[#This Row],[Net_Revenue]]-RawSalesTable5[[#This Row],[Cost]],"NOT FOUND")</f>
        <v>1895</v>
      </c>
      <c r="X333" s="27">
        <f>IF(RawSalesTable5[[#This Row],[Lookup_Status]]="Missing Product","",IFERROR(RawSalesTable5[[#This Row],[Profit]]/RawSalesTable5[[#This Row],[Net_Revenue]],0))</f>
        <v>0.47434292866082606</v>
      </c>
      <c r="Y333">
        <f>RawSalesTable5[[#This Row],[Ship_Date]]-RawSalesTable5[[#This Row],[Order_Date]]</f>
        <v>1</v>
      </c>
      <c r="Z333" s="28">
        <f>DATE(YEAR(RawSalesTable5[[#This Row],[Order_Date]]),MONTH(RawSalesTable5[[#This Row],[Order_Date]]),1)</f>
        <v>45901</v>
      </c>
      <c r="AA333" t="str" cm="1">
        <f t="array" ref="AA333">IF(RawSalesTable5[[#This Row],[Lookup_Status]]="Missing Product","",_xlfn.IFS(RawSalesTable5[[#This Row],[Net_Revenue]]&gt;=20000,"High",RawSalesTable5[[#This Row],[Net_Revenue]]&gt;=10000,"Medium",TRUE,"Low"))</f>
        <v>Low</v>
      </c>
    </row>
    <row r="334" spans="1:27">
      <c r="A334" t="s">
        <v>466</v>
      </c>
      <c r="B334" s="15">
        <v>45742</v>
      </c>
      <c r="C334" s="15">
        <v>45743</v>
      </c>
      <c r="D334" t="s">
        <v>157</v>
      </c>
      <c r="E334" t="s">
        <v>98</v>
      </c>
      <c r="F334" t="s">
        <v>154</v>
      </c>
      <c r="G334" t="s">
        <v>125</v>
      </c>
      <c r="H334" t="s">
        <v>86</v>
      </c>
      <c r="I334" s="17">
        <v>4</v>
      </c>
      <c r="J334" s="16">
        <v>0</v>
      </c>
      <c r="K334" t="s">
        <v>88</v>
      </c>
      <c r="L334" t="s">
        <v>89</v>
      </c>
      <c r="M334" s="17">
        <v>3</v>
      </c>
      <c r="N334" t="str" cm="1">
        <f t="array" ref="N334">_xlfn.XLOOKUP(RawSalesTable5[[#This Row],[Product_Code]],ProductLookupTable[[#All],[Product_Code]],ProductLookupTable[[#All],[Product_Name]],"NOT FOUND")</f>
        <v>Laptop Stand</v>
      </c>
      <c r="O334" t="str" cm="1">
        <f t="array" ref="O334">_xlfn.XLOOKUP(RawSalesTable5[[#This Row],[Product_Code]],ProductLookupTable[[#All],[Product_Code]],ProductLookupTable[[#All],[Category]],"NOT FOUND")</f>
        <v>Accessories</v>
      </c>
      <c r="P334" cm="1">
        <f t="array" ref="P334">_xlfn.XLOOKUP(RawSalesTable5[[#This Row],[Product_Code]],ProductLookupTable[[#All],[Product_Code]],ProductLookupTable[[#All],[Unit_Price]],"NOT FOUND")</f>
        <v>1899</v>
      </c>
      <c r="Q334" t="str">
        <f>IF(COUNTIF(ProductLookupTable[Product_Code],RawSalesTable5[[#This Row],[Product_Code]])=0,"Missing Product","OK")</f>
        <v>OK</v>
      </c>
      <c r="R334" cm="1">
        <f t="array" ref="R334">_xlfn.XLOOKUP(RawSalesTable5[[#This Row],[Product_Code]],ProductLookupTable[[#All],[Product_Code]],ProductLookupTable[[#All],[Unit_Cost]],"NOT FOUND")</f>
        <v>980</v>
      </c>
      <c r="S334">
        <f>IFERROR(RawSalesTable5[[#This Row],[Quantity]]*RawSalesTable5[[#This Row],[Unit_Price]],"NOT FOUND")</f>
        <v>7596</v>
      </c>
      <c r="T334">
        <f>IFERROR(RawSalesTable5[[#This Row],[Gross_Revenue]]*RawSalesTable5[[#This Row],[Discount_Pct]],"NOT FOUND")</f>
        <v>0</v>
      </c>
      <c r="U334">
        <f>IFERROR(RawSalesTable5[[#This Row],[Gross_Revenue]]-RawSalesTable5[[#This Row],[Discount_Value]],"NOT FOUND")</f>
        <v>7596</v>
      </c>
      <c r="V334">
        <f>IFERROR(RawSalesTable5[[#This Row],[Quantity]]*RawSalesTable5[[#This Row],[Unit_Cost]],"NOT FOUND")</f>
        <v>3920</v>
      </c>
      <c r="W334">
        <f>IFERROR(RawSalesTable5[[#This Row],[Net_Revenue]]-RawSalesTable5[[#This Row],[Cost]],"NOT FOUND")</f>
        <v>3676</v>
      </c>
      <c r="X334" s="27">
        <f>IF(RawSalesTable5[[#This Row],[Lookup_Status]]="Missing Product","",IFERROR(RawSalesTable5[[#This Row],[Profit]]/RawSalesTable5[[#This Row],[Net_Revenue]],0))</f>
        <v>0.48393891521853605</v>
      </c>
      <c r="Y334">
        <f>RawSalesTable5[[#This Row],[Ship_Date]]-RawSalesTable5[[#This Row],[Order_Date]]</f>
        <v>1</v>
      </c>
      <c r="Z334" s="28">
        <f>DATE(YEAR(RawSalesTable5[[#This Row],[Order_Date]]),MONTH(RawSalesTable5[[#This Row],[Order_Date]]),1)</f>
        <v>45717</v>
      </c>
      <c r="AA334" t="str" cm="1">
        <f t="array" ref="AA334">IF(RawSalesTable5[[#This Row],[Lookup_Status]]="Missing Product","",_xlfn.IFS(RawSalesTable5[[#This Row],[Net_Revenue]]&gt;=20000,"High",RawSalesTable5[[#This Row],[Net_Revenue]]&gt;=10000,"Medium",TRUE,"Low"))</f>
        <v>Low</v>
      </c>
    </row>
    <row r="335" spans="1:27">
      <c r="A335" t="s">
        <v>467</v>
      </c>
      <c r="B335" s="15">
        <v>45976</v>
      </c>
      <c r="C335" s="15">
        <v>45977</v>
      </c>
      <c r="D335" t="s">
        <v>212</v>
      </c>
      <c r="E335" t="s">
        <v>101</v>
      </c>
      <c r="F335" t="s">
        <v>118</v>
      </c>
      <c r="G335" t="s">
        <v>94</v>
      </c>
      <c r="H335" t="s">
        <v>86</v>
      </c>
      <c r="I335" s="17">
        <v>1</v>
      </c>
      <c r="J335" s="16">
        <v>0.2</v>
      </c>
      <c r="K335" t="s">
        <v>112</v>
      </c>
      <c r="L335" t="s">
        <v>89</v>
      </c>
      <c r="M335" s="17">
        <v>5</v>
      </c>
      <c r="N335" t="str" cm="1">
        <f t="array" ref="N335">_xlfn.XLOOKUP(RawSalesTable5[[#This Row],[Product_Code]],ProductLookupTable[[#All],[Product_Code]],ProductLookupTable[[#All],[Product_Name]],"NOT FOUND")</f>
        <v>Mechanical Keyboard</v>
      </c>
      <c r="O335" t="str" cm="1">
        <f t="array" ref="O335">_xlfn.XLOOKUP(RawSalesTable5[[#This Row],[Product_Code]],ProductLookupTable[[#All],[Product_Code]],ProductLookupTable[[#All],[Category]],"NOT FOUND")</f>
        <v>Accessories</v>
      </c>
      <c r="P335" cm="1">
        <f t="array" ref="P335">_xlfn.XLOOKUP(RawSalesTable5[[#This Row],[Product_Code]],ProductLookupTable[[#All],[Product_Code]],ProductLookupTable[[#All],[Unit_Price]],"NOT FOUND")</f>
        <v>2499</v>
      </c>
      <c r="Q335" t="str">
        <f>IF(COUNTIF(ProductLookupTable[Product_Code],RawSalesTable5[[#This Row],[Product_Code]])=0,"Missing Product","OK")</f>
        <v>OK</v>
      </c>
      <c r="R335" cm="1">
        <f t="array" ref="R335">_xlfn.XLOOKUP(RawSalesTable5[[#This Row],[Product_Code]],ProductLookupTable[[#All],[Product_Code]],ProductLookupTable[[#All],[Unit_Cost]],"NOT FOUND")</f>
        <v>1450</v>
      </c>
      <c r="S335">
        <f>IFERROR(RawSalesTable5[[#This Row],[Quantity]]*RawSalesTable5[[#This Row],[Unit_Price]],"NOT FOUND")</f>
        <v>2499</v>
      </c>
      <c r="T335">
        <f>IFERROR(RawSalesTable5[[#This Row],[Gross_Revenue]]*RawSalesTable5[[#This Row],[Discount_Pct]],"NOT FOUND")</f>
        <v>499.8</v>
      </c>
      <c r="U335">
        <f>IFERROR(RawSalesTable5[[#This Row],[Gross_Revenue]]-RawSalesTable5[[#This Row],[Discount_Value]],"NOT FOUND")</f>
        <v>1999.2</v>
      </c>
      <c r="V335">
        <f>IFERROR(RawSalesTable5[[#This Row],[Quantity]]*RawSalesTable5[[#This Row],[Unit_Cost]],"NOT FOUND")</f>
        <v>1450</v>
      </c>
      <c r="W335">
        <f>IFERROR(RawSalesTable5[[#This Row],[Net_Revenue]]-RawSalesTable5[[#This Row],[Cost]],"NOT FOUND")</f>
        <v>549.20000000000005</v>
      </c>
      <c r="X335" s="27">
        <f>IF(RawSalesTable5[[#This Row],[Lookup_Status]]="Missing Product","",IFERROR(RawSalesTable5[[#This Row],[Profit]]/RawSalesTable5[[#This Row],[Net_Revenue]],0))</f>
        <v>0.27470988395358142</v>
      </c>
      <c r="Y335">
        <f>RawSalesTable5[[#This Row],[Ship_Date]]-RawSalesTable5[[#This Row],[Order_Date]]</f>
        <v>1</v>
      </c>
      <c r="Z335" s="28">
        <f>DATE(YEAR(RawSalesTable5[[#This Row],[Order_Date]]),MONTH(RawSalesTable5[[#This Row],[Order_Date]]),1)</f>
        <v>45962</v>
      </c>
      <c r="AA335" t="str" cm="1">
        <f t="array" ref="AA335">IF(RawSalesTable5[[#This Row],[Lookup_Status]]="Missing Product","",_xlfn.IFS(RawSalesTable5[[#This Row],[Net_Revenue]]&gt;=20000,"High",RawSalesTable5[[#This Row],[Net_Revenue]]&gt;=10000,"Medium",TRUE,"Low"))</f>
        <v>Low</v>
      </c>
    </row>
    <row r="336" spans="1:27">
      <c r="A336" t="s">
        <v>468</v>
      </c>
      <c r="B336" s="15">
        <v>45926</v>
      </c>
      <c r="C336" s="15">
        <v>45930</v>
      </c>
      <c r="D336" t="s">
        <v>123</v>
      </c>
      <c r="E336" t="s">
        <v>106</v>
      </c>
      <c r="F336" t="s">
        <v>85</v>
      </c>
      <c r="G336" t="s">
        <v>125</v>
      </c>
      <c r="H336" t="s">
        <v>87</v>
      </c>
      <c r="I336" s="17">
        <v>3</v>
      </c>
      <c r="J336" s="16">
        <v>0</v>
      </c>
      <c r="K336" t="s">
        <v>88</v>
      </c>
      <c r="L336" t="s">
        <v>89</v>
      </c>
      <c r="M336" s="17">
        <v>4</v>
      </c>
      <c r="N336" t="str" cm="1">
        <f t="array" ref="N336">_xlfn.XLOOKUP(RawSalesTable5[[#This Row],[Product_Code]],ProductLookupTable[[#All],[Product_Code]],ProductLookupTable[[#All],[Product_Name]],"NOT FOUND")</f>
        <v>Ergonomic Chair</v>
      </c>
      <c r="O336" t="str" cm="1">
        <f t="array" ref="O336">_xlfn.XLOOKUP(RawSalesTable5[[#This Row],[Product_Code]],ProductLookupTable[[#All],[Product_Code]],ProductLookupTable[[#All],[Category]],"NOT FOUND")</f>
        <v>Furniture</v>
      </c>
      <c r="P336" cm="1">
        <f t="array" ref="P336">_xlfn.XLOOKUP(RawSalesTable5[[#This Row],[Product_Code]],ProductLookupTable[[#All],[Product_Code]],ProductLookupTable[[#All],[Unit_Price]],"NOT FOUND")</f>
        <v>10499</v>
      </c>
      <c r="Q336" t="str">
        <f>IF(COUNTIF(ProductLookupTable[Product_Code],RawSalesTable5[[#This Row],[Product_Code]])=0,"Missing Product","OK")</f>
        <v>OK</v>
      </c>
      <c r="R336" cm="1">
        <f t="array" ref="R336">_xlfn.XLOOKUP(RawSalesTable5[[#This Row],[Product_Code]],ProductLookupTable[[#All],[Product_Code]],ProductLookupTable[[#All],[Unit_Cost]],"NOT FOUND")</f>
        <v>7600</v>
      </c>
      <c r="S336">
        <f>IFERROR(RawSalesTable5[[#This Row],[Quantity]]*RawSalesTable5[[#This Row],[Unit_Price]],"NOT FOUND")</f>
        <v>31497</v>
      </c>
      <c r="T336">
        <f>IFERROR(RawSalesTable5[[#This Row],[Gross_Revenue]]*RawSalesTable5[[#This Row],[Discount_Pct]],"NOT FOUND")</f>
        <v>0</v>
      </c>
      <c r="U336">
        <f>IFERROR(RawSalesTable5[[#This Row],[Gross_Revenue]]-RawSalesTable5[[#This Row],[Discount_Value]],"NOT FOUND")</f>
        <v>31497</v>
      </c>
      <c r="V336">
        <f>IFERROR(RawSalesTable5[[#This Row],[Quantity]]*RawSalesTable5[[#This Row],[Unit_Cost]],"NOT FOUND")</f>
        <v>22800</v>
      </c>
      <c r="W336">
        <f>IFERROR(RawSalesTable5[[#This Row],[Net_Revenue]]-RawSalesTable5[[#This Row],[Cost]],"NOT FOUND")</f>
        <v>8697</v>
      </c>
      <c r="X336" s="27">
        <f>IF(RawSalesTable5[[#This Row],[Lookup_Status]]="Missing Product","",IFERROR(RawSalesTable5[[#This Row],[Profit]]/RawSalesTable5[[#This Row],[Net_Revenue]],0))</f>
        <v>0.27612153538432233</v>
      </c>
      <c r="Y336">
        <f>RawSalesTable5[[#This Row],[Ship_Date]]-RawSalesTable5[[#This Row],[Order_Date]]</f>
        <v>4</v>
      </c>
      <c r="Z336" s="28">
        <f>DATE(YEAR(RawSalesTable5[[#This Row],[Order_Date]]),MONTH(RawSalesTable5[[#This Row],[Order_Date]]),1)</f>
        <v>45901</v>
      </c>
      <c r="AA336" t="str" cm="1">
        <f t="array" ref="AA336">IF(RawSalesTable5[[#This Row],[Lookup_Status]]="Missing Product","",_xlfn.IFS(RawSalesTable5[[#This Row],[Net_Revenue]]&gt;=20000,"High",RawSalesTable5[[#This Row],[Net_Revenue]]&gt;=10000,"Medium",TRUE,"Low"))</f>
        <v>High</v>
      </c>
    </row>
    <row r="337" spans="1:27">
      <c r="A337" t="s">
        <v>469</v>
      </c>
      <c r="B337" s="15">
        <v>45708</v>
      </c>
      <c r="C337" s="15">
        <v>45711</v>
      </c>
      <c r="D337" t="s">
        <v>83</v>
      </c>
      <c r="E337" t="s">
        <v>111</v>
      </c>
      <c r="F337" t="s">
        <v>124</v>
      </c>
      <c r="G337" t="s">
        <v>125</v>
      </c>
      <c r="H337" t="s">
        <v>86</v>
      </c>
      <c r="I337" s="17">
        <v>4</v>
      </c>
      <c r="J337" s="16">
        <v>0.2</v>
      </c>
      <c r="K337" t="s">
        <v>140</v>
      </c>
      <c r="L337" t="s">
        <v>89</v>
      </c>
      <c r="M337" s="17">
        <v>3</v>
      </c>
      <c r="N337" t="str" cm="1">
        <f t="array" ref="N337">_xlfn.XLOOKUP(RawSalesTable5[[#This Row],[Product_Code]],ProductLookupTable[[#All],[Product_Code]],ProductLookupTable[[#All],[Product_Name]],"NOT FOUND")</f>
        <v>Wireless Mouse</v>
      </c>
      <c r="O337" t="str" cm="1">
        <f t="array" ref="O337">_xlfn.XLOOKUP(RawSalesTable5[[#This Row],[Product_Code]],ProductLookupTable[[#All],[Product_Code]],ProductLookupTable[[#All],[Category]],"NOT FOUND")</f>
        <v>Accessories</v>
      </c>
      <c r="P337" cm="1">
        <f t="array" ref="P337">_xlfn.XLOOKUP(RawSalesTable5[[#This Row],[Product_Code]],ProductLookupTable[[#All],[Product_Code]],ProductLookupTable[[#All],[Unit_Price]],"NOT FOUND")</f>
        <v>799</v>
      </c>
      <c r="Q337" t="str">
        <f>IF(COUNTIF(ProductLookupTable[Product_Code],RawSalesTable5[[#This Row],[Product_Code]])=0,"Missing Product","OK")</f>
        <v>OK</v>
      </c>
      <c r="R337" cm="1">
        <f t="array" ref="R337">_xlfn.XLOOKUP(RawSalesTable5[[#This Row],[Product_Code]],ProductLookupTable[[#All],[Product_Code]],ProductLookupTable[[#All],[Unit_Cost]],"NOT FOUND")</f>
        <v>420</v>
      </c>
      <c r="S337">
        <f>IFERROR(RawSalesTable5[[#This Row],[Quantity]]*RawSalesTable5[[#This Row],[Unit_Price]],"NOT FOUND")</f>
        <v>3196</v>
      </c>
      <c r="T337">
        <f>IFERROR(RawSalesTable5[[#This Row],[Gross_Revenue]]*RawSalesTable5[[#This Row],[Discount_Pct]],"NOT FOUND")</f>
        <v>639.20000000000005</v>
      </c>
      <c r="U337">
        <f>IFERROR(RawSalesTable5[[#This Row],[Gross_Revenue]]-RawSalesTable5[[#This Row],[Discount_Value]],"NOT FOUND")</f>
        <v>2556.8000000000002</v>
      </c>
      <c r="V337">
        <f>IFERROR(RawSalesTable5[[#This Row],[Quantity]]*RawSalesTable5[[#This Row],[Unit_Cost]],"NOT FOUND")</f>
        <v>1680</v>
      </c>
      <c r="W337">
        <f>IFERROR(RawSalesTable5[[#This Row],[Net_Revenue]]-RawSalesTable5[[#This Row],[Cost]],"NOT FOUND")</f>
        <v>876.80000000000018</v>
      </c>
      <c r="X337" s="27">
        <f>IF(RawSalesTable5[[#This Row],[Lookup_Status]]="Missing Product","",IFERROR(RawSalesTable5[[#This Row],[Profit]]/RawSalesTable5[[#This Row],[Net_Revenue]],0))</f>
        <v>0.34292866082603257</v>
      </c>
      <c r="Y337">
        <f>RawSalesTable5[[#This Row],[Ship_Date]]-RawSalesTable5[[#This Row],[Order_Date]]</f>
        <v>3</v>
      </c>
      <c r="Z337" s="28">
        <f>DATE(YEAR(RawSalesTable5[[#This Row],[Order_Date]]),MONTH(RawSalesTable5[[#This Row],[Order_Date]]),1)</f>
        <v>45689</v>
      </c>
      <c r="AA337" t="str" cm="1">
        <f t="array" ref="AA337">IF(RawSalesTable5[[#This Row],[Lookup_Status]]="Missing Product","",_xlfn.IFS(RawSalesTable5[[#This Row],[Net_Revenue]]&gt;=20000,"High",RawSalesTable5[[#This Row],[Net_Revenue]]&gt;=10000,"Medium",TRUE,"Low"))</f>
        <v>Low</v>
      </c>
    </row>
    <row r="338" spans="1:27">
      <c r="A338" t="s">
        <v>470</v>
      </c>
      <c r="B338" s="15">
        <v>45827</v>
      </c>
      <c r="C338" s="15">
        <v>45828</v>
      </c>
      <c r="D338" t="s">
        <v>114</v>
      </c>
      <c r="E338" t="s">
        <v>84</v>
      </c>
      <c r="F338" t="s">
        <v>115</v>
      </c>
      <c r="G338" t="s">
        <v>108</v>
      </c>
      <c r="H338" t="s">
        <v>103</v>
      </c>
      <c r="I338" s="17">
        <v>2</v>
      </c>
      <c r="J338" s="16">
        <v>0</v>
      </c>
      <c r="K338" t="s">
        <v>112</v>
      </c>
      <c r="L338" t="s">
        <v>89</v>
      </c>
      <c r="M338" s="17">
        <v>4</v>
      </c>
      <c r="N338" t="str" cm="1">
        <f t="array" ref="N338">_xlfn.XLOOKUP(RawSalesTable5[[#This Row],[Product_Code]],ProductLookupTable[[#All],[Product_Code]],ProductLookupTable[[#All],[Product_Name]],"NOT FOUND")</f>
        <v>USB-C Hub</v>
      </c>
      <c r="O338" t="str" cm="1">
        <f t="array" ref="O338">_xlfn.XLOOKUP(RawSalesTable5[[#This Row],[Product_Code]],ProductLookupTable[[#All],[Product_Code]],ProductLookupTable[[#All],[Category]],"NOT FOUND")</f>
        <v>Accessories</v>
      </c>
      <c r="P338" cm="1">
        <f t="array" ref="P338">_xlfn.XLOOKUP(RawSalesTable5[[#This Row],[Product_Code]],ProductLookupTable[[#All],[Product_Code]],ProductLookupTable[[#All],[Unit_Price]],"NOT FOUND")</f>
        <v>1599</v>
      </c>
      <c r="Q338" t="str">
        <f>IF(COUNTIF(ProductLookupTable[Product_Code],RawSalesTable5[[#This Row],[Product_Code]])=0,"Missing Product","OK")</f>
        <v>OK</v>
      </c>
      <c r="R338" cm="1">
        <f t="array" ref="R338">_xlfn.XLOOKUP(RawSalesTable5[[#This Row],[Product_Code]],ProductLookupTable[[#All],[Product_Code]],ProductLookupTable[[#All],[Unit_Cost]],"NOT FOUND")</f>
        <v>870</v>
      </c>
      <c r="S338">
        <f>IFERROR(RawSalesTable5[[#This Row],[Quantity]]*RawSalesTable5[[#This Row],[Unit_Price]],"NOT FOUND")</f>
        <v>3198</v>
      </c>
      <c r="T338">
        <f>IFERROR(RawSalesTable5[[#This Row],[Gross_Revenue]]*RawSalesTable5[[#This Row],[Discount_Pct]],"NOT FOUND")</f>
        <v>0</v>
      </c>
      <c r="U338">
        <f>IFERROR(RawSalesTable5[[#This Row],[Gross_Revenue]]-RawSalesTable5[[#This Row],[Discount_Value]],"NOT FOUND")</f>
        <v>3198</v>
      </c>
      <c r="V338">
        <f>IFERROR(RawSalesTable5[[#This Row],[Quantity]]*RawSalesTable5[[#This Row],[Unit_Cost]],"NOT FOUND")</f>
        <v>1740</v>
      </c>
      <c r="W338">
        <f>IFERROR(RawSalesTable5[[#This Row],[Net_Revenue]]-RawSalesTable5[[#This Row],[Cost]],"NOT FOUND")</f>
        <v>1458</v>
      </c>
      <c r="X338" s="27">
        <f>IF(RawSalesTable5[[#This Row],[Lookup_Status]]="Missing Product","",IFERROR(RawSalesTable5[[#This Row],[Profit]]/RawSalesTable5[[#This Row],[Net_Revenue]],0))</f>
        <v>0.45590994371482174</v>
      </c>
      <c r="Y338">
        <f>RawSalesTable5[[#This Row],[Ship_Date]]-RawSalesTable5[[#This Row],[Order_Date]]</f>
        <v>1</v>
      </c>
      <c r="Z338" s="28">
        <f>DATE(YEAR(RawSalesTable5[[#This Row],[Order_Date]]),MONTH(RawSalesTable5[[#This Row],[Order_Date]]),1)</f>
        <v>45809</v>
      </c>
      <c r="AA338" t="str" cm="1">
        <f t="array" ref="AA338">IF(RawSalesTable5[[#This Row],[Lookup_Status]]="Missing Product","",_xlfn.IFS(RawSalesTable5[[#This Row],[Net_Revenue]]&gt;=20000,"High",RawSalesTable5[[#This Row],[Net_Revenue]]&gt;=10000,"Medium",TRUE,"Low"))</f>
        <v>Low</v>
      </c>
    </row>
    <row r="339" spans="1:27">
      <c r="A339" t="s">
        <v>471</v>
      </c>
      <c r="B339" s="15">
        <v>45678</v>
      </c>
      <c r="C339" s="15">
        <v>45679</v>
      </c>
      <c r="D339" t="s">
        <v>157</v>
      </c>
      <c r="E339" t="s">
        <v>92</v>
      </c>
      <c r="F339" t="s">
        <v>138</v>
      </c>
      <c r="G339" t="s">
        <v>108</v>
      </c>
      <c r="H339" t="s">
        <v>86</v>
      </c>
      <c r="I339" s="17">
        <v>2</v>
      </c>
      <c r="J339" s="16">
        <v>0.1</v>
      </c>
      <c r="K339" t="s">
        <v>88</v>
      </c>
      <c r="L339" t="s">
        <v>89</v>
      </c>
      <c r="M339" s="17">
        <v>5</v>
      </c>
      <c r="N339" t="str" cm="1">
        <f t="array" ref="N339">_xlfn.XLOOKUP(RawSalesTable5[[#This Row],[Product_Code]],ProductLookupTable[[#All],[Product_Code]],ProductLookupTable[[#All],[Product_Name]],"NOT FOUND")</f>
        <v>24-inch Monitor</v>
      </c>
      <c r="O339" t="str" cm="1">
        <f t="array" ref="O339">_xlfn.XLOOKUP(RawSalesTable5[[#This Row],[Product_Code]],ProductLookupTable[[#All],[Product_Code]],ProductLookupTable[[#All],[Category]],"NOT FOUND")</f>
        <v>Displays</v>
      </c>
      <c r="P339" cm="1">
        <f t="array" ref="P339">_xlfn.XLOOKUP(RawSalesTable5[[#This Row],[Product_Code]],ProductLookupTable[[#All],[Product_Code]],ProductLookupTable[[#All],[Unit_Price]],"NOT FOUND")</f>
        <v>12999</v>
      </c>
      <c r="Q339" t="str">
        <f>IF(COUNTIF(ProductLookupTable[Product_Code],RawSalesTable5[[#This Row],[Product_Code]])=0,"Missing Product","OK")</f>
        <v>OK</v>
      </c>
      <c r="R339" cm="1">
        <f t="array" ref="R339">_xlfn.XLOOKUP(RawSalesTable5[[#This Row],[Product_Code]],ProductLookupTable[[#All],[Product_Code]],ProductLookupTable[[#All],[Unit_Cost]],"NOT FOUND")</f>
        <v>9100</v>
      </c>
      <c r="S339">
        <f>IFERROR(RawSalesTable5[[#This Row],[Quantity]]*RawSalesTable5[[#This Row],[Unit_Price]],"NOT FOUND")</f>
        <v>25998</v>
      </c>
      <c r="T339">
        <f>IFERROR(RawSalesTable5[[#This Row],[Gross_Revenue]]*RawSalesTable5[[#This Row],[Discount_Pct]],"NOT FOUND")</f>
        <v>2599.8000000000002</v>
      </c>
      <c r="U339">
        <f>IFERROR(RawSalesTable5[[#This Row],[Gross_Revenue]]-RawSalesTable5[[#This Row],[Discount_Value]],"NOT FOUND")</f>
        <v>23398.2</v>
      </c>
      <c r="V339">
        <f>IFERROR(RawSalesTable5[[#This Row],[Quantity]]*RawSalesTable5[[#This Row],[Unit_Cost]],"NOT FOUND")</f>
        <v>18200</v>
      </c>
      <c r="W339">
        <f>IFERROR(RawSalesTable5[[#This Row],[Net_Revenue]]-RawSalesTable5[[#This Row],[Cost]],"NOT FOUND")</f>
        <v>5198.2000000000007</v>
      </c>
      <c r="X339" s="27">
        <f>IF(RawSalesTable5[[#This Row],[Lookup_Status]]="Missing Product","",IFERROR(RawSalesTable5[[#This Row],[Profit]]/RawSalesTable5[[#This Row],[Net_Revenue]],0))</f>
        <v>0.22216238855980378</v>
      </c>
      <c r="Y339">
        <f>RawSalesTable5[[#This Row],[Ship_Date]]-RawSalesTable5[[#This Row],[Order_Date]]</f>
        <v>1</v>
      </c>
      <c r="Z339" s="28">
        <f>DATE(YEAR(RawSalesTable5[[#This Row],[Order_Date]]),MONTH(RawSalesTable5[[#This Row],[Order_Date]]),1)</f>
        <v>45658</v>
      </c>
      <c r="AA339" t="str" cm="1">
        <f t="array" ref="AA339">IF(RawSalesTable5[[#This Row],[Lookup_Status]]="Missing Product","",_xlfn.IFS(RawSalesTable5[[#This Row],[Net_Revenue]]&gt;=20000,"High",RawSalesTable5[[#This Row],[Net_Revenue]]&gt;=10000,"Medium",TRUE,"Low"))</f>
        <v>High</v>
      </c>
    </row>
    <row r="340" spans="1:27">
      <c r="A340" t="s">
        <v>472</v>
      </c>
      <c r="B340" s="15">
        <v>45915</v>
      </c>
      <c r="C340" s="15">
        <v>45919</v>
      </c>
      <c r="D340" t="s">
        <v>212</v>
      </c>
      <c r="E340" t="s">
        <v>98</v>
      </c>
      <c r="F340" t="s">
        <v>107</v>
      </c>
      <c r="G340" t="s">
        <v>125</v>
      </c>
      <c r="H340" t="s">
        <v>103</v>
      </c>
      <c r="I340" s="17">
        <v>3</v>
      </c>
      <c r="J340" s="16">
        <v>0.2</v>
      </c>
      <c r="K340" t="s">
        <v>112</v>
      </c>
      <c r="L340" t="s">
        <v>89</v>
      </c>
      <c r="M340" s="17">
        <v>4</v>
      </c>
      <c r="N340" t="str" cm="1">
        <f t="array" ref="N340">_xlfn.XLOOKUP(RawSalesTable5[[#This Row],[Product_Code]],ProductLookupTable[[#All],[Product_Code]],ProductLookupTable[[#All],[Product_Name]],"NOT FOUND")</f>
        <v>Bluetooth Speaker</v>
      </c>
      <c r="O340" t="str" cm="1">
        <f t="array" ref="O340">_xlfn.XLOOKUP(RawSalesTable5[[#This Row],[Product_Code]],ProductLookupTable[[#All],[Product_Code]],ProductLookupTable[[#All],[Category]],"NOT FOUND")</f>
        <v>Audio</v>
      </c>
      <c r="P340" cm="1">
        <f t="array" ref="P340">_xlfn.XLOOKUP(RawSalesTable5[[#This Row],[Product_Code]],ProductLookupTable[[#All],[Product_Code]],ProductLookupTable[[#All],[Unit_Price]],"NOT FOUND")</f>
        <v>2799</v>
      </c>
      <c r="Q340" t="str">
        <f>IF(COUNTIF(ProductLookupTable[Product_Code],RawSalesTable5[[#This Row],[Product_Code]])=0,"Missing Product","OK")</f>
        <v>OK</v>
      </c>
      <c r="R340" cm="1">
        <f t="array" ref="R340">_xlfn.XLOOKUP(RawSalesTable5[[#This Row],[Product_Code]],ProductLookupTable[[#All],[Product_Code]],ProductLookupTable[[#All],[Unit_Cost]],"NOT FOUND")</f>
        <v>1650</v>
      </c>
      <c r="S340">
        <f>IFERROR(RawSalesTable5[[#This Row],[Quantity]]*RawSalesTable5[[#This Row],[Unit_Price]],"NOT FOUND")</f>
        <v>8397</v>
      </c>
      <c r="T340">
        <f>IFERROR(RawSalesTable5[[#This Row],[Gross_Revenue]]*RawSalesTable5[[#This Row],[Discount_Pct]],"NOT FOUND")</f>
        <v>1679.4</v>
      </c>
      <c r="U340">
        <f>IFERROR(RawSalesTable5[[#This Row],[Gross_Revenue]]-RawSalesTable5[[#This Row],[Discount_Value]],"NOT FOUND")</f>
        <v>6717.6</v>
      </c>
      <c r="V340">
        <f>IFERROR(RawSalesTable5[[#This Row],[Quantity]]*RawSalesTable5[[#This Row],[Unit_Cost]],"NOT FOUND")</f>
        <v>4950</v>
      </c>
      <c r="W340">
        <f>IFERROR(RawSalesTable5[[#This Row],[Net_Revenue]]-RawSalesTable5[[#This Row],[Cost]],"NOT FOUND")</f>
        <v>1767.6000000000004</v>
      </c>
      <c r="X340" s="27">
        <f>IF(RawSalesTable5[[#This Row],[Lookup_Status]]="Missing Product","",IFERROR(RawSalesTable5[[#This Row],[Profit]]/RawSalesTable5[[#This Row],[Net_Revenue]],0))</f>
        <v>0.26312968917470531</v>
      </c>
      <c r="Y340">
        <f>RawSalesTable5[[#This Row],[Ship_Date]]-RawSalesTable5[[#This Row],[Order_Date]]</f>
        <v>4</v>
      </c>
      <c r="Z340" s="28">
        <f>DATE(YEAR(RawSalesTable5[[#This Row],[Order_Date]]),MONTH(RawSalesTable5[[#This Row],[Order_Date]]),1)</f>
        <v>45901</v>
      </c>
      <c r="AA340" t="str" cm="1">
        <f t="array" ref="AA340">IF(RawSalesTable5[[#This Row],[Lookup_Status]]="Missing Product","",_xlfn.IFS(RawSalesTable5[[#This Row],[Net_Revenue]]&gt;=20000,"High",RawSalesTable5[[#This Row],[Net_Revenue]]&gt;=10000,"Medium",TRUE,"Low"))</f>
        <v>Low</v>
      </c>
    </row>
    <row r="341" spans="1:27">
      <c r="A341" t="s">
        <v>473</v>
      </c>
      <c r="B341" s="15">
        <v>45756</v>
      </c>
      <c r="C341" s="15">
        <v>45761</v>
      </c>
      <c r="D341" t="s">
        <v>123</v>
      </c>
      <c r="E341" t="s">
        <v>101</v>
      </c>
      <c r="F341" t="s">
        <v>138</v>
      </c>
      <c r="G341" t="s">
        <v>94</v>
      </c>
      <c r="H341" t="s">
        <v>87</v>
      </c>
      <c r="I341" s="17">
        <v>2</v>
      </c>
      <c r="J341" s="16">
        <v>0</v>
      </c>
      <c r="K341" t="s">
        <v>140</v>
      </c>
      <c r="L341" t="s">
        <v>89</v>
      </c>
      <c r="M341" s="17">
        <v>3</v>
      </c>
      <c r="N341" t="str" cm="1">
        <f t="array" ref="N341">_xlfn.XLOOKUP(RawSalesTable5[[#This Row],[Product_Code]],ProductLookupTable[[#All],[Product_Code]],ProductLookupTable[[#All],[Product_Name]],"NOT FOUND")</f>
        <v>24-inch Monitor</v>
      </c>
      <c r="O341" t="str" cm="1">
        <f t="array" ref="O341">_xlfn.XLOOKUP(RawSalesTable5[[#This Row],[Product_Code]],ProductLookupTable[[#All],[Product_Code]],ProductLookupTable[[#All],[Category]],"NOT FOUND")</f>
        <v>Displays</v>
      </c>
      <c r="P341" cm="1">
        <f t="array" ref="P341">_xlfn.XLOOKUP(RawSalesTable5[[#This Row],[Product_Code]],ProductLookupTable[[#All],[Product_Code]],ProductLookupTable[[#All],[Unit_Price]],"NOT FOUND")</f>
        <v>12999</v>
      </c>
      <c r="Q341" t="str">
        <f>IF(COUNTIF(ProductLookupTable[Product_Code],RawSalesTable5[[#This Row],[Product_Code]])=0,"Missing Product","OK")</f>
        <v>OK</v>
      </c>
      <c r="R341" cm="1">
        <f t="array" ref="R341">_xlfn.XLOOKUP(RawSalesTable5[[#This Row],[Product_Code]],ProductLookupTable[[#All],[Product_Code]],ProductLookupTable[[#All],[Unit_Cost]],"NOT FOUND")</f>
        <v>9100</v>
      </c>
      <c r="S341">
        <f>IFERROR(RawSalesTable5[[#This Row],[Quantity]]*RawSalesTable5[[#This Row],[Unit_Price]],"NOT FOUND")</f>
        <v>25998</v>
      </c>
      <c r="T341">
        <f>IFERROR(RawSalesTable5[[#This Row],[Gross_Revenue]]*RawSalesTable5[[#This Row],[Discount_Pct]],"NOT FOUND")</f>
        <v>0</v>
      </c>
      <c r="U341">
        <f>IFERROR(RawSalesTable5[[#This Row],[Gross_Revenue]]-RawSalesTable5[[#This Row],[Discount_Value]],"NOT FOUND")</f>
        <v>25998</v>
      </c>
      <c r="V341">
        <f>IFERROR(RawSalesTable5[[#This Row],[Quantity]]*RawSalesTable5[[#This Row],[Unit_Cost]],"NOT FOUND")</f>
        <v>18200</v>
      </c>
      <c r="W341">
        <f>IFERROR(RawSalesTable5[[#This Row],[Net_Revenue]]-RawSalesTable5[[#This Row],[Cost]],"NOT FOUND")</f>
        <v>7798</v>
      </c>
      <c r="X341" s="27">
        <f>IF(RawSalesTable5[[#This Row],[Lookup_Status]]="Missing Product","",IFERROR(RawSalesTable5[[#This Row],[Profit]]/RawSalesTable5[[#This Row],[Net_Revenue]],0))</f>
        <v>0.29994614970382338</v>
      </c>
      <c r="Y341">
        <f>RawSalesTable5[[#This Row],[Ship_Date]]-RawSalesTable5[[#This Row],[Order_Date]]</f>
        <v>5</v>
      </c>
      <c r="Z341" s="28">
        <f>DATE(YEAR(RawSalesTable5[[#This Row],[Order_Date]]),MONTH(RawSalesTable5[[#This Row],[Order_Date]]),1)</f>
        <v>45748</v>
      </c>
      <c r="AA341" t="str" cm="1">
        <f t="array" ref="AA341">IF(RawSalesTable5[[#This Row],[Lookup_Status]]="Missing Product","",_xlfn.IFS(RawSalesTable5[[#This Row],[Net_Revenue]]&gt;=20000,"High",RawSalesTable5[[#This Row],[Net_Revenue]]&gt;=10000,"Medium",TRUE,"Low"))</f>
        <v>High</v>
      </c>
    </row>
    <row r="342" spans="1:27">
      <c r="A342" t="s">
        <v>474</v>
      </c>
      <c r="B342" s="15">
        <v>45853</v>
      </c>
      <c r="C342" s="15">
        <v>45858</v>
      </c>
      <c r="D342" t="s">
        <v>83</v>
      </c>
      <c r="E342" t="s">
        <v>106</v>
      </c>
      <c r="F342" t="s">
        <v>149</v>
      </c>
      <c r="G342" t="s">
        <v>94</v>
      </c>
      <c r="H342" t="s">
        <v>86</v>
      </c>
      <c r="I342" s="17">
        <v>4</v>
      </c>
      <c r="J342" s="16">
        <v>0.05</v>
      </c>
      <c r="K342" t="s">
        <v>140</v>
      </c>
      <c r="L342" t="s">
        <v>89</v>
      </c>
      <c r="M342" s="17">
        <v>5</v>
      </c>
      <c r="N342" t="str" cm="1">
        <f t="array" ref="N342">_xlfn.XLOOKUP(RawSalesTable5[[#This Row],[Product_Code]],ProductLookupTable[[#All],[Product_Code]],ProductLookupTable[[#All],[Product_Name]],"NOT FOUND")</f>
        <v>Portable HDD 2TB</v>
      </c>
      <c r="O342" t="str" cm="1">
        <f t="array" ref="O342">_xlfn.XLOOKUP(RawSalesTable5[[#This Row],[Product_Code]],ProductLookupTable[[#All],[Product_Code]],ProductLookupTable[[#All],[Category]],"NOT FOUND")</f>
        <v>Storage</v>
      </c>
      <c r="P342" cm="1">
        <f t="array" ref="P342">_xlfn.XLOOKUP(RawSalesTable5[[#This Row],[Product_Code]],ProductLookupTable[[#All],[Product_Code]],ProductLookupTable[[#All],[Unit_Price]],"NOT FOUND")</f>
        <v>5899</v>
      </c>
      <c r="Q342" t="str">
        <f>IF(COUNTIF(ProductLookupTable[Product_Code],RawSalesTable5[[#This Row],[Product_Code]])=0,"Missing Product","OK")</f>
        <v>OK</v>
      </c>
      <c r="R342" cm="1">
        <f t="array" ref="R342">_xlfn.XLOOKUP(RawSalesTable5[[#This Row],[Product_Code]],ProductLookupTable[[#All],[Product_Code]],ProductLookupTable[[#All],[Unit_Cost]],"NOT FOUND")</f>
        <v>4100</v>
      </c>
      <c r="S342">
        <f>IFERROR(RawSalesTable5[[#This Row],[Quantity]]*RawSalesTable5[[#This Row],[Unit_Price]],"NOT FOUND")</f>
        <v>23596</v>
      </c>
      <c r="T342">
        <f>IFERROR(RawSalesTable5[[#This Row],[Gross_Revenue]]*RawSalesTable5[[#This Row],[Discount_Pct]],"NOT FOUND")</f>
        <v>1179.8</v>
      </c>
      <c r="U342">
        <f>IFERROR(RawSalesTable5[[#This Row],[Gross_Revenue]]-RawSalesTable5[[#This Row],[Discount_Value]],"NOT FOUND")</f>
        <v>22416.2</v>
      </c>
      <c r="V342">
        <f>IFERROR(RawSalesTable5[[#This Row],[Quantity]]*RawSalesTable5[[#This Row],[Unit_Cost]],"NOT FOUND")</f>
        <v>16400</v>
      </c>
      <c r="W342">
        <f>IFERROR(RawSalesTable5[[#This Row],[Net_Revenue]]-RawSalesTable5[[#This Row],[Cost]],"NOT FOUND")</f>
        <v>6016.2000000000007</v>
      </c>
      <c r="X342" s="27">
        <f>IF(RawSalesTable5[[#This Row],[Lookup_Status]]="Missing Product","",IFERROR(RawSalesTable5[[#This Row],[Profit]]/RawSalesTable5[[#This Row],[Net_Revenue]],0))</f>
        <v>0.26838625636816232</v>
      </c>
      <c r="Y342">
        <f>RawSalesTable5[[#This Row],[Ship_Date]]-RawSalesTable5[[#This Row],[Order_Date]]</f>
        <v>5</v>
      </c>
      <c r="Z342" s="28">
        <f>DATE(YEAR(RawSalesTable5[[#This Row],[Order_Date]]),MONTH(RawSalesTable5[[#This Row],[Order_Date]]),1)</f>
        <v>45839</v>
      </c>
      <c r="AA342" t="str" cm="1">
        <f t="array" ref="AA342">IF(RawSalesTable5[[#This Row],[Lookup_Status]]="Missing Product","",_xlfn.IFS(RawSalesTable5[[#This Row],[Net_Revenue]]&gt;=20000,"High",RawSalesTable5[[#This Row],[Net_Revenue]]&gt;=10000,"Medium",TRUE,"Low"))</f>
        <v>High</v>
      </c>
    </row>
    <row r="343" spans="1:27">
      <c r="A343" t="s">
        <v>475</v>
      </c>
      <c r="B343" s="15">
        <v>45748</v>
      </c>
      <c r="C343" s="15">
        <v>45755</v>
      </c>
      <c r="D343" t="s">
        <v>114</v>
      </c>
      <c r="E343" t="s">
        <v>111</v>
      </c>
      <c r="F343" t="s">
        <v>149</v>
      </c>
      <c r="G343" t="s">
        <v>125</v>
      </c>
      <c r="H343" t="s">
        <v>87</v>
      </c>
      <c r="I343" s="17">
        <v>3</v>
      </c>
      <c r="J343" s="16">
        <v>0.2</v>
      </c>
      <c r="K343" t="s">
        <v>140</v>
      </c>
      <c r="L343" t="s">
        <v>89</v>
      </c>
      <c r="M343" s="17">
        <v>5</v>
      </c>
      <c r="N343" t="str" cm="1">
        <f t="array" ref="N343">_xlfn.XLOOKUP(RawSalesTable5[[#This Row],[Product_Code]],ProductLookupTable[[#All],[Product_Code]],ProductLookupTable[[#All],[Product_Name]],"NOT FOUND")</f>
        <v>Portable HDD 2TB</v>
      </c>
      <c r="O343" t="str" cm="1">
        <f t="array" ref="O343">_xlfn.XLOOKUP(RawSalesTable5[[#This Row],[Product_Code]],ProductLookupTable[[#All],[Product_Code]],ProductLookupTable[[#All],[Category]],"NOT FOUND")</f>
        <v>Storage</v>
      </c>
      <c r="P343" cm="1">
        <f t="array" ref="P343">_xlfn.XLOOKUP(RawSalesTable5[[#This Row],[Product_Code]],ProductLookupTable[[#All],[Product_Code]],ProductLookupTable[[#All],[Unit_Price]],"NOT FOUND")</f>
        <v>5899</v>
      </c>
      <c r="Q343" t="str">
        <f>IF(COUNTIF(ProductLookupTable[Product_Code],RawSalesTable5[[#This Row],[Product_Code]])=0,"Missing Product","OK")</f>
        <v>OK</v>
      </c>
      <c r="R343" cm="1">
        <f t="array" ref="R343">_xlfn.XLOOKUP(RawSalesTable5[[#This Row],[Product_Code]],ProductLookupTable[[#All],[Product_Code]],ProductLookupTable[[#All],[Unit_Cost]],"NOT FOUND")</f>
        <v>4100</v>
      </c>
      <c r="S343">
        <f>IFERROR(RawSalesTable5[[#This Row],[Quantity]]*RawSalesTable5[[#This Row],[Unit_Price]],"NOT FOUND")</f>
        <v>17697</v>
      </c>
      <c r="T343">
        <f>IFERROR(RawSalesTable5[[#This Row],[Gross_Revenue]]*RawSalesTable5[[#This Row],[Discount_Pct]],"NOT FOUND")</f>
        <v>3539.4</v>
      </c>
      <c r="U343">
        <f>IFERROR(RawSalesTable5[[#This Row],[Gross_Revenue]]-RawSalesTable5[[#This Row],[Discount_Value]],"NOT FOUND")</f>
        <v>14157.6</v>
      </c>
      <c r="V343">
        <f>IFERROR(RawSalesTable5[[#This Row],[Quantity]]*RawSalesTable5[[#This Row],[Unit_Cost]],"NOT FOUND")</f>
        <v>12300</v>
      </c>
      <c r="W343">
        <f>IFERROR(RawSalesTable5[[#This Row],[Net_Revenue]]-RawSalesTable5[[#This Row],[Cost]],"NOT FOUND")</f>
        <v>1857.6000000000004</v>
      </c>
      <c r="X343" s="27">
        <f>IF(RawSalesTable5[[#This Row],[Lookup_Status]]="Missing Product","",IFERROR(RawSalesTable5[[#This Row],[Profit]]/RawSalesTable5[[#This Row],[Net_Revenue]],0))</f>
        <v>0.13120867943719278</v>
      </c>
      <c r="Y343">
        <f>RawSalesTable5[[#This Row],[Ship_Date]]-RawSalesTable5[[#This Row],[Order_Date]]</f>
        <v>7</v>
      </c>
      <c r="Z343" s="28">
        <f>DATE(YEAR(RawSalesTable5[[#This Row],[Order_Date]]),MONTH(RawSalesTable5[[#This Row],[Order_Date]]),1)</f>
        <v>45748</v>
      </c>
      <c r="AA343" t="str" cm="1">
        <f t="array" ref="AA343">IF(RawSalesTable5[[#This Row],[Lookup_Status]]="Missing Product","",_xlfn.IFS(RawSalesTable5[[#This Row],[Net_Revenue]]&gt;=20000,"High",RawSalesTable5[[#This Row],[Net_Revenue]]&gt;=10000,"Medium",TRUE,"Low"))</f>
        <v>Medium</v>
      </c>
    </row>
    <row r="344" spans="1:27">
      <c r="A344" t="s">
        <v>476</v>
      </c>
      <c r="B344" s="15">
        <v>45685</v>
      </c>
      <c r="C344" s="15">
        <v>45688</v>
      </c>
      <c r="D344" t="s">
        <v>157</v>
      </c>
      <c r="E344" t="s">
        <v>84</v>
      </c>
      <c r="F344" t="s">
        <v>115</v>
      </c>
      <c r="G344" t="s">
        <v>108</v>
      </c>
      <c r="H344" t="s">
        <v>87</v>
      </c>
      <c r="I344" s="17">
        <v>3</v>
      </c>
      <c r="J344" s="16">
        <v>0.1</v>
      </c>
      <c r="K344" t="s">
        <v>88</v>
      </c>
      <c r="L344" t="s">
        <v>89</v>
      </c>
      <c r="M344" s="17">
        <v>3</v>
      </c>
      <c r="N344" t="str" cm="1">
        <f t="array" ref="N344">_xlfn.XLOOKUP(RawSalesTable5[[#This Row],[Product_Code]],ProductLookupTable[[#All],[Product_Code]],ProductLookupTable[[#All],[Product_Name]],"NOT FOUND")</f>
        <v>USB-C Hub</v>
      </c>
      <c r="O344" t="str" cm="1">
        <f t="array" ref="O344">_xlfn.XLOOKUP(RawSalesTable5[[#This Row],[Product_Code]],ProductLookupTable[[#All],[Product_Code]],ProductLookupTable[[#All],[Category]],"NOT FOUND")</f>
        <v>Accessories</v>
      </c>
      <c r="P344" cm="1">
        <f t="array" ref="P344">_xlfn.XLOOKUP(RawSalesTable5[[#This Row],[Product_Code]],ProductLookupTable[[#All],[Product_Code]],ProductLookupTable[[#All],[Unit_Price]],"NOT FOUND")</f>
        <v>1599</v>
      </c>
      <c r="Q344" t="str">
        <f>IF(COUNTIF(ProductLookupTable[Product_Code],RawSalesTable5[[#This Row],[Product_Code]])=0,"Missing Product","OK")</f>
        <v>OK</v>
      </c>
      <c r="R344" cm="1">
        <f t="array" ref="R344">_xlfn.XLOOKUP(RawSalesTable5[[#This Row],[Product_Code]],ProductLookupTable[[#All],[Product_Code]],ProductLookupTable[[#All],[Unit_Cost]],"NOT FOUND")</f>
        <v>870</v>
      </c>
      <c r="S344">
        <f>IFERROR(RawSalesTable5[[#This Row],[Quantity]]*RawSalesTable5[[#This Row],[Unit_Price]],"NOT FOUND")</f>
        <v>4797</v>
      </c>
      <c r="T344">
        <f>IFERROR(RawSalesTable5[[#This Row],[Gross_Revenue]]*RawSalesTable5[[#This Row],[Discount_Pct]],"NOT FOUND")</f>
        <v>479.70000000000005</v>
      </c>
      <c r="U344">
        <f>IFERROR(RawSalesTable5[[#This Row],[Gross_Revenue]]-RawSalesTable5[[#This Row],[Discount_Value]],"NOT FOUND")</f>
        <v>4317.3</v>
      </c>
      <c r="V344">
        <f>IFERROR(RawSalesTable5[[#This Row],[Quantity]]*RawSalesTable5[[#This Row],[Unit_Cost]],"NOT FOUND")</f>
        <v>2610</v>
      </c>
      <c r="W344">
        <f>IFERROR(RawSalesTable5[[#This Row],[Net_Revenue]]-RawSalesTable5[[#This Row],[Cost]],"NOT FOUND")</f>
        <v>1707.3000000000002</v>
      </c>
      <c r="X344" s="27">
        <f>IF(RawSalesTable5[[#This Row],[Lookup_Status]]="Missing Product","",IFERROR(RawSalesTable5[[#This Row],[Profit]]/RawSalesTable5[[#This Row],[Net_Revenue]],0))</f>
        <v>0.39545549301646865</v>
      </c>
      <c r="Y344">
        <f>RawSalesTable5[[#This Row],[Ship_Date]]-RawSalesTable5[[#This Row],[Order_Date]]</f>
        <v>3</v>
      </c>
      <c r="Z344" s="28">
        <f>DATE(YEAR(RawSalesTable5[[#This Row],[Order_Date]]),MONTH(RawSalesTable5[[#This Row],[Order_Date]]),1)</f>
        <v>45658</v>
      </c>
      <c r="AA344" t="str" cm="1">
        <f t="array" ref="AA344">IF(RawSalesTable5[[#This Row],[Lookup_Status]]="Missing Product","",_xlfn.IFS(RawSalesTable5[[#This Row],[Net_Revenue]]&gt;=20000,"High",RawSalesTable5[[#This Row],[Net_Revenue]]&gt;=10000,"Medium",TRUE,"Low"))</f>
        <v>Low</v>
      </c>
    </row>
    <row r="345" spans="1:27">
      <c r="A345" t="s">
        <v>477</v>
      </c>
      <c r="B345" s="15">
        <v>45831</v>
      </c>
      <c r="C345" s="15">
        <v>45832</v>
      </c>
      <c r="D345" t="s">
        <v>212</v>
      </c>
      <c r="E345" t="s">
        <v>92</v>
      </c>
      <c r="F345" t="s">
        <v>115</v>
      </c>
      <c r="G345" t="s">
        <v>125</v>
      </c>
      <c r="H345" t="s">
        <v>86</v>
      </c>
      <c r="I345" s="17">
        <v>5</v>
      </c>
      <c r="J345" s="16">
        <v>0</v>
      </c>
      <c r="K345" t="s">
        <v>112</v>
      </c>
      <c r="L345" t="s">
        <v>89</v>
      </c>
      <c r="M345" s="17">
        <v>5</v>
      </c>
      <c r="N345" t="str" cm="1">
        <f t="array" ref="N345">_xlfn.XLOOKUP(RawSalesTable5[[#This Row],[Product_Code]],ProductLookupTable[[#All],[Product_Code]],ProductLookupTable[[#All],[Product_Name]],"NOT FOUND")</f>
        <v>USB-C Hub</v>
      </c>
      <c r="O345" t="str" cm="1">
        <f t="array" ref="O345">_xlfn.XLOOKUP(RawSalesTable5[[#This Row],[Product_Code]],ProductLookupTable[[#All],[Product_Code]],ProductLookupTable[[#All],[Category]],"NOT FOUND")</f>
        <v>Accessories</v>
      </c>
      <c r="P345" cm="1">
        <f t="array" ref="P345">_xlfn.XLOOKUP(RawSalesTable5[[#This Row],[Product_Code]],ProductLookupTable[[#All],[Product_Code]],ProductLookupTable[[#All],[Unit_Price]],"NOT FOUND")</f>
        <v>1599</v>
      </c>
      <c r="Q345" t="str">
        <f>IF(COUNTIF(ProductLookupTable[Product_Code],RawSalesTable5[[#This Row],[Product_Code]])=0,"Missing Product","OK")</f>
        <v>OK</v>
      </c>
      <c r="R345" cm="1">
        <f t="array" ref="R345">_xlfn.XLOOKUP(RawSalesTable5[[#This Row],[Product_Code]],ProductLookupTable[[#All],[Product_Code]],ProductLookupTable[[#All],[Unit_Cost]],"NOT FOUND")</f>
        <v>870</v>
      </c>
      <c r="S345">
        <f>IFERROR(RawSalesTable5[[#This Row],[Quantity]]*RawSalesTable5[[#This Row],[Unit_Price]],"NOT FOUND")</f>
        <v>7995</v>
      </c>
      <c r="T345">
        <f>IFERROR(RawSalesTable5[[#This Row],[Gross_Revenue]]*RawSalesTable5[[#This Row],[Discount_Pct]],"NOT FOUND")</f>
        <v>0</v>
      </c>
      <c r="U345">
        <f>IFERROR(RawSalesTable5[[#This Row],[Gross_Revenue]]-RawSalesTable5[[#This Row],[Discount_Value]],"NOT FOUND")</f>
        <v>7995</v>
      </c>
      <c r="V345">
        <f>IFERROR(RawSalesTable5[[#This Row],[Quantity]]*RawSalesTable5[[#This Row],[Unit_Cost]],"NOT FOUND")</f>
        <v>4350</v>
      </c>
      <c r="W345">
        <f>IFERROR(RawSalesTable5[[#This Row],[Net_Revenue]]-RawSalesTable5[[#This Row],[Cost]],"NOT FOUND")</f>
        <v>3645</v>
      </c>
      <c r="X345" s="27">
        <f>IF(RawSalesTable5[[#This Row],[Lookup_Status]]="Missing Product","",IFERROR(RawSalesTable5[[#This Row],[Profit]]/RawSalesTable5[[#This Row],[Net_Revenue]],0))</f>
        <v>0.45590994371482174</v>
      </c>
      <c r="Y345">
        <f>RawSalesTable5[[#This Row],[Ship_Date]]-RawSalesTable5[[#This Row],[Order_Date]]</f>
        <v>1</v>
      </c>
      <c r="Z345" s="28">
        <f>DATE(YEAR(RawSalesTable5[[#This Row],[Order_Date]]),MONTH(RawSalesTable5[[#This Row],[Order_Date]]),1)</f>
        <v>45809</v>
      </c>
      <c r="AA345" t="str" cm="1">
        <f t="array" ref="AA345">IF(RawSalesTable5[[#This Row],[Lookup_Status]]="Missing Product","",_xlfn.IFS(RawSalesTable5[[#This Row],[Net_Revenue]]&gt;=20000,"High",RawSalesTable5[[#This Row],[Net_Revenue]]&gt;=10000,"Medium",TRUE,"Low"))</f>
        <v>Low</v>
      </c>
    </row>
    <row r="346" spans="1:27">
      <c r="A346" t="s">
        <v>478</v>
      </c>
      <c r="B346" s="15">
        <v>45908</v>
      </c>
      <c r="C346" s="15">
        <v>45909</v>
      </c>
      <c r="D346" t="s">
        <v>123</v>
      </c>
      <c r="E346" t="s">
        <v>98</v>
      </c>
      <c r="F346" t="s">
        <v>147</v>
      </c>
      <c r="G346" t="s">
        <v>86</v>
      </c>
      <c r="H346" t="s">
        <v>87</v>
      </c>
      <c r="I346" s="17">
        <v>5</v>
      </c>
      <c r="J346" s="16">
        <v>0.05</v>
      </c>
      <c r="K346" t="s">
        <v>140</v>
      </c>
      <c r="L346" t="s">
        <v>89</v>
      </c>
      <c r="M346" s="17">
        <v>4</v>
      </c>
      <c r="N346" t="str" cm="1">
        <f t="array" ref="N346">_xlfn.XLOOKUP(RawSalesTable5[[#This Row],[Product_Code]],ProductLookupTable[[#All],[Product_Code]],ProductLookupTable[[#All],[Product_Name]],"NOT FOUND")</f>
        <v>LED Desk Lamp</v>
      </c>
      <c r="O346" t="str" cm="1">
        <f t="array" ref="O346">_xlfn.XLOOKUP(RawSalesTable5[[#This Row],[Product_Code]],ProductLookupTable[[#All],[Product_Code]],ProductLookupTable[[#All],[Category]],"NOT FOUND")</f>
        <v>Furniture</v>
      </c>
      <c r="P346" cm="1">
        <f t="array" ref="P346">_xlfn.XLOOKUP(RawSalesTable5[[#This Row],[Product_Code]],ProductLookupTable[[#All],[Product_Code]],ProductLookupTable[[#All],[Unit_Price]],"NOT FOUND")</f>
        <v>1999</v>
      </c>
      <c r="Q346" t="str">
        <f>IF(COUNTIF(ProductLookupTable[Product_Code],RawSalesTable5[[#This Row],[Product_Code]])=0,"Missing Product","OK")</f>
        <v>OK</v>
      </c>
      <c r="R346" cm="1">
        <f t="array" ref="R346">_xlfn.XLOOKUP(RawSalesTable5[[#This Row],[Product_Code]],ProductLookupTable[[#All],[Product_Code]],ProductLookupTable[[#All],[Unit_Cost]],"NOT FOUND")</f>
        <v>1050</v>
      </c>
      <c r="S346">
        <f>IFERROR(RawSalesTable5[[#This Row],[Quantity]]*RawSalesTable5[[#This Row],[Unit_Price]],"NOT FOUND")</f>
        <v>9995</v>
      </c>
      <c r="T346">
        <f>IFERROR(RawSalesTable5[[#This Row],[Gross_Revenue]]*RawSalesTable5[[#This Row],[Discount_Pct]],"NOT FOUND")</f>
        <v>499.75</v>
      </c>
      <c r="U346">
        <f>IFERROR(RawSalesTable5[[#This Row],[Gross_Revenue]]-RawSalesTable5[[#This Row],[Discount_Value]],"NOT FOUND")</f>
        <v>9495.25</v>
      </c>
      <c r="V346">
        <f>IFERROR(RawSalesTable5[[#This Row],[Quantity]]*RawSalesTable5[[#This Row],[Unit_Cost]],"NOT FOUND")</f>
        <v>5250</v>
      </c>
      <c r="W346">
        <f>IFERROR(RawSalesTable5[[#This Row],[Net_Revenue]]-RawSalesTable5[[#This Row],[Cost]],"NOT FOUND")</f>
        <v>4245.25</v>
      </c>
      <c r="X346" s="27">
        <f>IF(RawSalesTable5[[#This Row],[Lookup_Status]]="Missing Product","",IFERROR(RawSalesTable5[[#This Row],[Profit]]/RawSalesTable5[[#This Row],[Net_Revenue]],0))</f>
        <v>0.44709196703614967</v>
      </c>
      <c r="Y346">
        <f>RawSalesTable5[[#This Row],[Ship_Date]]-RawSalesTable5[[#This Row],[Order_Date]]</f>
        <v>1</v>
      </c>
      <c r="Z346" s="28">
        <f>DATE(YEAR(RawSalesTable5[[#This Row],[Order_Date]]),MONTH(RawSalesTable5[[#This Row],[Order_Date]]),1)</f>
        <v>45901</v>
      </c>
      <c r="AA346" t="str" cm="1">
        <f t="array" ref="AA346">IF(RawSalesTable5[[#This Row],[Lookup_Status]]="Missing Product","",_xlfn.IFS(RawSalesTable5[[#This Row],[Net_Revenue]]&gt;=20000,"High",RawSalesTable5[[#This Row],[Net_Revenue]]&gt;=10000,"Medium",TRUE,"Low"))</f>
        <v>Low</v>
      </c>
    </row>
    <row r="347" spans="1:27">
      <c r="A347" t="s">
        <v>479</v>
      </c>
      <c r="B347" s="15">
        <v>45853</v>
      </c>
      <c r="C347" s="15">
        <v>45855</v>
      </c>
      <c r="D347" t="s">
        <v>83</v>
      </c>
      <c r="E347" t="s">
        <v>101</v>
      </c>
      <c r="F347" t="s">
        <v>149</v>
      </c>
      <c r="G347" t="s">
        <v>125</v>
      </c>
      <c r="H347" t="s">
        <v>87</v>
      </c>
      <c r="I347" s="17">
        <v>3</v>
      </c>
      <c r="J347" s="16">
        <v>0.05</v>
      </c>
      <c r="K347" t="s">
        <v>88</v>
      </c>
      <c r="L347" t="s">
        <v>89</v>
      </c>
      <c r="M347" s="17">
        <v>4</v>
      </c>
      <c r="N347" t="str" cm="1">
        <f t="array" ref="N347">_xlfn.XLOOKUP(RawSalesTable5[[#This Row],[Product_Code]],ProductLookupTable[[#All],[Product_Code]],ProductLookupTable[[#All],[Product_Name]],"NOT FOUND")</f>
        <v>Portable HDD 2TB</v>
      </c>
      <c r="O347" t="str" cm="1">
        <f t="array" ref="O347">_xlfn.XLOOKUP(RawSalesTable5[[#This Row],[Product_Code]],ProductLookupTable[[#All],[Product_Code]],ProductLookupTable[[#All],[Category]],"NOT FOUND")</f>
        <v>Storage</v>
      </c>
      <c r="P347" cm="1">
        <f t="array" ref="P347">_xlfn.XLOOKUP(RawSalesTable5[[#This Row],[Product_Code]],ProductLookupTable[[#All],[Product_Code]],ProductLookupTable[[#All],[Unit_Price]],"NOT FOUND")</f>
        <v>5899</v>
      </c>
      <c r="Q347" t="str">
        <f>IF(COUNTIF(ProductLookupTable[Product_Code],RawSalesTable5[[#This Row],[Product_Code]])=0,"Missing Product","OK")</f>
        <v>OK</v>
      </c>
      <c r="R347" cm="1">
        <f t="array" ref="R347">_xlfn.XLOOKUP(RawSalesTable5[[#This Row],[Product_Code]],ProductLookupTable[[#All],[Product_Code]],ProductLookupTable[[#All],[Unit_Cost]],"NOT FOUND")</f>
        <v>4100</v>
      </c>
      <c r="S347">
        <f>IFERROR(RawSalesTable5[[#This Row],[Quantity]]*RawSalesTable5[[#This Row],[Unit_Price]],"NOT FOUND")</f>
        <v>17697</v>
      </c>
      <c r="T347">
        <f>IFERROR(RawSalesTable5[[#This Row],[Gross_Revenue]]*RawSalesTable5[[#This Row],[Discount_Pct]],"NOT FOUND")</f>
        <v>884.85</v>
      </c>
      <c r="U347">
        <f>IFERROR(RawSalesTable5[[#This Row],[Gross_Revenue]]-RawSalesTable5[[#This Row],[Discount_Value]],"NOT FOUND")</f>
        <v>16812.150000000001</v>
      </c>
      <c r="V347">
        <f>IFERROR(RawSalesTable5[[#This Row],[Quantity]]*RawSalesTable5[[#This Row],[Unit_Cost]],"NOT FOUND")</f>
        <v>12300</v>
      </c>
      <c r="W347">
        <f>IFERROR(RawSalesTable5[[#This Row],[Net_Revenue]]-RawSalesTable5[[#This Row],[Cost]],"NOT FOUND")</f>
        <v>4512.1500000000015</v>
      </c>
      <c r="X347" s="27">
        <f>IF(RawSalesTable5[[#This Row],[Lookup_Status]]="Missing Product","",IFERROR(RawSalesTable5[[#This Row],[Profit]]/RawSalesTable5[[#This Row],[Net_Revenue]],0))</f>
        <v>0.26838625636816238</v>
      </c>
      <c r="Y347">
        <f>RawSalesTable5[[#This Row],[Ship_Date]]-RawSalesTable5[[#This Row],[Order_Date]]</f>
        <v>2</v>
      </c>
      <c r="Z347" s="28">
        <f>DATE(YEAR(RawSalesTable5[[#This Row],[Order_Date]]),MONTH(RawSalesTable5[[#This Row],[Order_Date]]),1)</f>
        <v>45839</v>
      </c>
      <c r="AA347" t="str" cm="1">
        <f t="array" ref="AA347">IF(RawSalesTable5[[#This Row],[Lookup_Status]]="Missing Product","",_xlfn.IFS(RawSalesTable5[[#This Row],[Net_Revenue]]&gt;=20000,"High",RawSalesTable5[[#This Row],[Net_Revenue]]&gt;=10000,"Medium",TRUE,"Low"))</f>
        <v>Medium</v>
      </c>
    </row>
    <row r="348" spans="1:27">
      <c r="A348" t="s">
        <v>480</v>
      </c>
      <c r="B348" s="15">
        <v>45919</v>
      </c>
      <c r="C348" s="15">
        <v>45923</v>
      </c>
      <c r="D348" t="s">
        <v>114</v>
      </c>
      <c r="E348" t="s">
        <v>106</v>
      </c>
      <c r="F348" t="s">
        <v>115</v>
      </c>
      <c r="G348" t="s">
        <v>86</v>
      </c>
      <c r="H348" t="s">
        <v>103</v>
      </c>
      <c r="I348" s="17">
        <v>4</v>
      </c>
      <c r="J348" s="16">
        <v>0.2</v>
      </c>
      <c r="K348" t="s">
        <v>112</v>
      </c>
      <c r="L348" t="s">
        <v>89</v>
      </c>
      <c r="M348" s="17">
        <v>3</v>
      </c>
      <c r="N348" t="str" cm="1">
        <f t="array" ref="N348">_xlfn.XLOOKUP(RawSalesTable5[[#This Row],[Product_Code]],ProductLookupTable[[#All],[Product_Code]],ProductLookupTable[[#All],[Product_Name]],"NOT FOUND")</f>
        <v>USB-C Hub</v>
      </c>
      <c r="O348" t="str" cm="1">
        <f t="array" ref="O348">_xlfn.XLOOKUP(RawSalesTable5[[#This Row],[Product_Code]],ProductLookupTable[[#All],[Product_Code]],ProductLookupTable[[#All],[Category]],"NOT FOUND")</f>
        <v>Accessories</v>
      </c>
      <c r="P348" cm="1">
        <f t="array" ref="P348">_xlfn.XLOOKUP(RawSalesTable5[[#This Row],[Product_Code]],ProductLookupTable[[#All],[Product_Code]],ProductLookupTable[[#All],[Unit_Price]],"NOT FOUND")</f>
        <v>1599</v>
      </c>
      <c r="Q348" t="str">
        <f>IF(COUNTIF(ProductLookupTable[Product_Code],RawSalesTable5[[#This Row],[Product_Code]])=0,"Missing Product","OK")</f>
        <v>OK</v>
      </c>
      <c r="R348" cm="1">
        <f t="array" ref="R348">_xlfn.XLOOKUP(RawSalesTable5[[#This Row],[Product_Code]],ProductLookupTable[[#All],[Product_Code]],ProductLookupTable[[#All],[Unit_Cost]],"NOT FOUND")</f>
        <v>870</v>
      </c>
      <c r="S348">
        <f>IFERROR(RawSalesTable5[[#This Row],[Quantity]]*RawSalesTable5[[#This Row],[Unit_Price]],"NOT FOUND")</f>
        <v>6396</v>
      </c>
      <c r="T348">
        <f>IFERROR(RawSalesTable5[[#This Row],[Gross_Revenue]]*RawSalesTable5[[#This Row],[Discount_Pct]],"NOT FOUND")</f>
        <v>1279.2</v>
      </c>
      <c r="U348">
        <f>IFERROR(RawSalesTable5[[#This Row],[Gross_Revenue]]-RawSalesTable5[[#This Row],[Discount_Value]],"NOT FOUND")</f>
        <v>5116.8</v>
      </c>
      <c r="V348">
        <f>IFERROR(RawSalesTable5[[#This Row],[Quantity]]*RawSalesTable5[[#This Row],[Unit_Cost]],"NOT FOUND")</f>
        <v>3480</v>
      </c>
      <c r="W348">
        <f>IFERROR(RawSalesTable5[[#This Row],[Net_Revenue]]-RawSalesTable5[[#This Row],[Cost]],"NOT FOUND")</f>
        <v>1636.8000000000002</v>
      </c>
      <c r="X348" s="27">
        <f>IF(RawSalesTable5[[#This Row],[Lookup_Status]]="Missing Product","",IFERROR(RawSalesTable5[[#This Row],[Profit]]/RawSalesTable5[[#This Row],[Net_Revenue]],0))</f>
        <v>0.31988742964352723</v>
      </c>
      <c r="Y348">
        <f>RawSalesTable5[[#This Row],[Ship_Date]]-RawSalesTable5[[#This Row],[Order_Date]]</f>
        <v>4</v>
      </c>
      <c r="Z348" s="28">
        <f>DATE(YEAR(RawSalesTable5[[#This Row],[Order_Date]]),MONTH(RawSalesTable5[[#This Row],[Order_Date]]),1)</f>
        <v>45901</v>
      </c>
      <c r="AA348" t="str" cm="1">
        <f t="array" ref="AA348">IF(RawSalesTable5[[#This Row],[Lookup_Status]]="Missing Product","",_xlfn.IFS(RawSalesTable5[[#This Row],[Net_Revenue]]&gt;=20000,"High",RawSalesTable5[[#This Row],[Net_Revenue]]&gt;=10000,"Medium",TRUE,"Low"))</f>
        <v>Low</v>
      </c>
    </row>
    <row r="349" spans="1:27">
      <c r="A349" t="s">
        <v>481</v>
      </c>
      <c r="B349" s="15">
        <v>45988</v>
      </c>
      <c r="C349" s="15">
        <v>45990</v>
      </c>
      <c r="D349" t="s">
        <v>157</v>
      </c>
      <c r="E349" t="s">
        <v>111</v>
      </c>
      <c r="F349" t="s">
        <v>121</v>
      </c>
      <c r="G349" t="s">
        <v>86</v>
      </c>
      <c r="H349" t="s">
        <v>87</v>
      </c>
      <c r="I349" s="17">
        <v>4</v>
      </c>
      <c r="J349" s="16">
        <v>0</v>
      </c>
      <c r="K349" t="s">
        <v>112</v>
      </c>
      <c r="L349" t="s">
        <v>89</v>
      </c>
      <c r="M349" s="17">
        <v>5</v>
      </c>
      <c r="N349" t="str" cm="1">
        <f t="array" ref="N349">_xlfn.XLOOKUP(RawSalesTable5[[#This Row],[Product_Code]],ProductLookupTable[[#All],[Product_Code]],ProductLookupTable[[#All],[Product_Name]],"NOT FOUND")</f>
        <v>HD Webcam</v>
      </c>
      <c r="O349" t="str" cm="1">
        <f t="array" ref="O349">_xlfn.XLOOKUP(RawSalesTable5[[#This Row],[Product_Code]],ProductLookupTable[[#All],[Product_Code]],ProductLookupTable[[#All],[Category]],"NOT FOUND")</f>
        <v>Accessories</v>
      </c>
      <c r="P349" cm="1">
        <f t="array" ref="P349">_xlfn.XLOOKUP(RawSalesTable5[[#This Row],[Product_Code]],ProductLookupTable[[#All],[Product_Code]],ProductLookupTable[[#All],[Unit_Price]],"NOT FOUND")</f>
        <v>2899</v>
      </c>
      <c r="Q349" t="str">
        <f>IF(COUNTIF(ProductLookupTable[Product_Code],RawSalesTable5[[#This Row],[Product_Code]])=0,"Missing Product","OK")</f>
        <v>OK</v>
      </c>
      <c r="R349" cm="1">
        <f t="array" ref="R349">_xlfn.XLOOKUP(RawSalesTable5[[#This Row],[Product_Code]],ProductLookupTable[[#All],[Product_Code]],ProductLookupTable[[#All],[Unit_Cost]],"NOT FOUND")</f>
        <v>1700</v>
      </c>
      <c r="S349">
        <f>IFERROR(RawSalesTable5[[#This Row],[Quantity]]*RawSalesTable5[[#This Row],[Unit_Price]],"NOT FOUND")</f>
        <v>11596</v>
      </c>
      <c r="T349">
        <f>IFERROR(RawSalesTable5[[#This Row],[Gross_Revenue]]*RawSalesTable5[[#This Row],[Discount_Pct]],"NOT FOUND")</f>
        <v>0</v>
      </c>
      <c r="U349">
        <f>IFERROR(RawSalesTable5[[#This Row],[Gross_Revenue]]-RawSalesTable5[[#This Row],[Discount_Value]],"NOT FOUND")</f>
        <v>11596</v>
      </c>
      <c r="V349">
        <f>IFERROR(RawSalesTable5[[#This Row],[Quantity]]*RawSalesTable5[[#This Row],[Unit_Cost]],"NOT FOUND")</f>
        <v>6800</v>
      </c>
      <c r="W349">
        <f>IFERROR(RawSalesTable5[[#This Row],[Net_Revenue]]-RawSalesTable5[[#This Row],[Cost]],"NOT FOUND")</f>
        <v>4796</v>
      </c>
      <c r="X349" s="27">
        <f>IF(RawSalesTable5[[#This Row],[Lookup_Status]]="Missing Product","",IFERROR(RawSalesTable5[[#This Row],[Profit]]/RawSalesTable5[[#This Row],[Net_Revenue]],0))</f>
        <v>0.41359089341152122</v>
      </c>
      <c r="Y349">
        <f>RawSalesTable5[[#This Row],[Ship_Date]]-RawSalesTable5[[#This Row],[Order_Date]]</f>
        <v>2</v>
      </c>
      <c r="Z349" s="28">
        <f>DATE(YEAR(RawSalesTable5[[#This Row],[Order_Date]]),MONTH(RawSalesTable5[[#This Row],[Order_Date]]),1)</f>
        <v>45962</v>
      </c>
      <c r="AA349" t="str" cm="1">
        <f t="array" ref="AA349">IF(RawSalesTable5[[#This Row],[Lookup_Status]]="Missing Product","",_xlfn.IFS(RawSalesTable5[[#This Row],[Net_Revenue]]&gt;=20000,"High",RawSalesTable5[[#This Row],[Net_Revenue]]&gt;=10000,"Medium",TRUE,"Low"))</f>
        <v>Medium</v>
      </c>
    </row>
    <row r="350" spans="1:27">
      <c r="A350" t="s">
        <v>482</v>
      </c>
      <c r="B350" s="15">
        <v>45825</v>
      </c>
      <c r="C350" s="15">
        <v>45832</v>
      </c>
      <c r="D350" t="s">
        <v>212</v>
      </c>
      <c r="E350" t="s">
        <v>84</v>
      </c>
      <c r="F350" t="s">
        <v>149</v>
      </c>
      <c r="G350" t="s">
        <v>125</v>
      </c>
      <c r="H350" t="s">
        <v>103</v>
      </c>
      <c r="I350" s="17">
        <v>3</v>
      </c>
      <c r="J350" s="16">
        <v>0.1</v>
      </c>
      <c r="K350" t="s">
        <v>119</v>
      </c>
      <c r="L350" t="s">
        <v>89</v>
      </c>
      <c r="M350" s="17">
        <v>4</v>
      </c>
      <c r="N350" t="str" cm="1">
        <f t="array" ref="N350">_xlfn.XLOOKUP(RawSalesTable5[[#This Row],[Product_Code]],ProductLookupTable[[#All],[Product_Code]],ProductLookupTable[[#All],[Product_Name]],"NOT FOUND")</f>
        <v>Portable HDD 2TB</v>
      </c>
      <c r="O350" t="str" cm="1">
        <f t="array" ref="O350">_xlfn.XLOOKUP(RawSalesTable5[[#This Row],[Product_Code]],ProductLookupTable[[#All],[Product_Code]],ProductLookupTable[[#All],[Category]],"NOT FOUND")</f>
        <v>Storage</v>
      </c>
      <c r="P350" cm="1">
        <f t="array" ref="P350">_xlfn.XLOOKUP(RawSalesTable5[[#This Row],[Product_Code]],ProductLookupTable[[#All],[Product_Code]],ProductLookupTable[[#All],[Unit_Price]],"NOT FOUND")</f>
        <v>5899</v>
      </c>
      <c r="Q350" t="str">
        <f>IF(COUNTIF(ProductLookupTable[Product_Code],RawSalesTable5[[#This Row],[Product_Code]])=0,"Missing Product","OK")</f>
        <v>OK</v>
      </c>
      <c r="R350" cm="1">
        <f t="array" ref="R350">_xlfn.XLOOKUP(RawSalesTable5[[#This Row],[Product_Code]],ProductLookupTable[[#All],[Product_Code]],ProductLookupTable[[#All],[Unit_Cost]],"NOT FOUND")</f>
        <v>4100</v>
      </c>
      <c r="S350">
        <f>IFERROR(RawSalesTable5[[#This Row],[Quantity]]*RawSalesTable5[[#This Row],[Unit_Price]],"NOT FOUND")</f>
        <v>17697</v>
      </c>
      <c r="T350">
        <f>IFERROR(RawSalesTable5[[#This Row],[Gross_Revenue]]*RawSalesTable5[[#This Row],[Discount_Pct]],"NOT FOUND")</f>
        <v>1769.7</v>
      </c>
      <c r="U350">
        <f>IFERROR(RawSalesTable5[[#This Row],[Gross_Revenue]]-RawSalesTable5[[#This Row],[Discount_Value]],"NOT FOUND")</f>
        <v>15927.3</v>
      </c>
      <c r="V350">
        <f>IFERROR(RawSalesTable5[[#This Row],[Quantity]]*RawSalesTable5[[#This Row],[Unit_Cost]],"NOT FOUND")</f>
        <v>12300</v>
      </c>
      <c r="W350">
        <f>IFERROR(RawSalesTable5[[#This Row],[Net_Revenue]]-RawSalesTable5[[#This Row],[Cost]],"NOT FOUND")</f>
        <v>3627.2999999999993</v>
      </c>
      <c r="X350" s="27">
        <f>IF(RawSalesTable5[[#This Row],[Lookup_Status]]="Missing Product","",IFERROR(RawSalesTable5[[#This Row],[Profit]]/RawSalesTable5[[#This Row],[Net_Revenue]],0))</f>
        <v>0.22774104838861572</v>
      </c>
      <c r="Y350">
        <f>RawSalesTable5[[#This Row],[Ship_Date]]-RawSalesTable5[[#This Row],[Order_Date]]</f>
        <v>7</v>
      </c>
      <c r="Z350" s="28">
        <f>DATE(YEAR(RawSalesTable5[[#This Row],[Order_Date]]),MONTH(RawSalesTable5[[#This Row],[Order_Date]]),1)</f>
        <v>45809</v>
      </c>
      <c r="AA350" t="str" cm="1">
        <f t="array" ref="AA350">IF(RawSalesTable5[[#This Row],[Lookup_Status]]="Missing Product","",_xlfn.IFS(RawSalesTable5[[#This Row],[Net_Revenue]]&gt;=20000,"High",RawSalesTable5[[#This Row],[Net_Revenue]]&gt;=10000,"Medium",TRUE,"Low"))</f>
        <v>Medium</v>
      </c>
    </row>
    <row r="351" spans="1:27">
      <c r="A351" t="s">
        <v>483</v>
      </c>
      <c r="B351" s="15">
        <v>45696</v>
      </c>
      <c r="C351" s="15">
        <v>45700</v>
      </c>
      <c r="D351" t="s">
        <v>531</v>
      </c>
      <c r="E351" t="s">
        <v>92</v>
      </c>
      <c r="F351" t="s">
        <v>149</v>
      </c>
      <c r="G351" t="s">
        <v>125</v>
      </c>
      <c r="H351" t="s">
        <v>86</v>
      </c>
      <c r="I351" s="17">
        <v>5</v>
      </c>
      <c r="J351" s="16">
        <v>0.1</v>
      </c>
      <c r="K351" t="s">
        <v>140</v>
      </c>
      <c r="L351" t="s">
        <v>89</v>
      </c>
      <c r="M351" s="17">
        <v>5</v>
      </c>
      <c r="N351" t="str" cm="1">
        <f t="array" ref="N351">_xlfn.XLOOKUP(RawSalesTable5[[#This Row],[Product_Code]],ProductLookupTable[[#All],[Product_Code]],ProductLookupTable[[#All],[Product_Name]],"NOT FOUND")</f>
        <v>Portable HDD 2TB</v>
      </c>
      <c r="O351" t="str" cm="1">
        <f t="array" ref="O351">_xlfn.XLOOKUP(RawSalesTable5[[#This Row],[Product_Code]],ProductLookupTable[[#All],[Product_Code]],ProductLookupTable[[#All],[Category]],"NOT FOUND")</f>
        <v>Storage</v>
      </c>
      <c r="P351" cm="1">
        <f t="array" ref="P351">_xlfn.XLOOKUP(RawSalesTable5[[#This Row],[Product_Code]],ProductLookupTable[[#All],[Product_Code]],ProductLookupTable[[#All],[Unit_Price]],"NOT FOUND")</f>
        <v>5899</v>
      </c>
      <c r="Q351" t="str">
        <f>IF(COUNTIF(ProductLookupTable[Product_Code],RawSalesTable5[[#This Row],[Product_Code]])=0,"Missing Product","OK")</f>
        <v>OK</v>
      </c>
      <c r="R351" cm="1">
        <f t="array" ref="R351">_xlfn.XLOOKUP(RawSalesTable5[[#This Row],[Product_Code]],ProductLookupTable[[#All],[Product_Code]],ProductLookupTable[[#All],[Unit_Cost]],"NOT FOUND")</f>
        <v>4100</v>
      </c>
      <c r="S351">
        <f>IFERROR(RawSalesTable5[[#This Row],[Quantity]]*RawSalesTable5[[#This Row],[Unit_Price]],"NOT FOUND")</f>
        <v>29495</v>
      </c>
      <c r="T351">
        <f>IFERROR(RawSalesTable5[[#This Row],[Gross_Revenue]]*RawSalesTable5[[#This Row],[Discount_Pct]],"NOT FOUND")</f>
        <v>2949.5</v>
      </c>
      <c r="U351">
        <f>IFERROR(RawSalesTable5[[#This Row],[Gross_Revenue]]-RawSalesTable5[[#This Row],[Discount_Value]],"NOT FOUND")</f>
        <v>26545.5</v>
      </c>
      <c r="V351">
        <f>IFERROR(RawSalesTable5[[#This Row],[Quantity]]*RawSalesTable5[[#This Row],[Unit_Cost]],"NOT FOUND")</f>
        <v>20500</v>
      </c>
      <c r="W351">
        <f>IFERROR(RawSalesTable5[[#This Row],[Net_Revenue]]-RawSalesTable5[[#This Row],[Cost]],"NOT FOUND")</f>
        <v>6045.5</v>
      </c>
      <c r="X351" s="27">
        <f>IF(RawSalesTable5[[#This Row],[Lookup_Status]]="Missing Product","",IFERROR(RawSalesTable5[[#This Row],[Profit]]/RawSalesTable5[[#This Row],[Net_Revenue]],0))</f>
        <v>0.22774104838861578</v>
      </c>
      <c r="Y351">
        <f>RawSalesTable5[[#This Row],[Ship_Date]]-RawSalesTable5[[#This Row],[Order_Date]]</f>
        <v>4</v>
      </c>
      <c r="Z351" s="28">
        <f>DATE(YEAR(RawSalesTable5[[#This Row],[Order_Date]]),MONTH(RawSalesTable5[[#This Row],[Order_Date]]),1)</f>
        <v>45689</v>
      </c>
      <c r="AA351" t="str" cm="1">
        <f t="array" ref="AA351">IF(RawSalesTable5[[#This Row],[Lookup_Status]]="Missing Product","",_xlfn.IFS(RawSalesTable5[[#This Row],[Net_Revenue]]&gt;=20000,"High",RawSalesTable5[[#This Row],[Net_Revenue]]&gt;=10000,"Medium",TRUE,"Low"))</f>
        <v>High</v>
      </c>
    </row>
    <row r="352" spans="1:27">
      <c r="A352" t="s">
        <v>484</v>
      </c>
      <c r="B352" s="15">
        <v>45858</v>
      </c>
      <c r="C352" s="15">
        <v>45860</v>
      </c>
      <c r="D352" t="s">
        <v>83</v>
      </c>
      <c r="E352" t="s">
        <v>98</v>
      </c>
      <c r="F352" t="s">
        <v>124</v>
      </c>
      <c r="G352" t="s">
        <v>125</v>
      </c>
      <c r="H352" t="s">
        <v>86</v>
      </c>
      <c r="I352" s="17">
        <v>2</v>
      </c>
      <c r="J352" s="16">
        <v>0</v>
      </c>
      <c r="K352" t="s">
        <v>140</v>
      </c>
      <c r="L352" t="s">
        <v>89</v>
      </c>
      <c r="M352" s="17">
        <v>4</v>
      </c>
      <c r="N352" t="str" cm="1">
        <f t="array" ref="N352">_xlfn.XLOOKUP(RawSalesTable5[[#This Row],[Product_Code]],ProductLookupTable[[#All],[Product_Code]],ProductLookupTable[[#All],[Product_Name]],"NOT FOUND")</f>
        <v>Wireless Mouse</v>
      </c>
      <c r="O352" t="str" cm="1">
        <f t="array" ref="O352">_xlfn.XLOOKUP(RawSalesTable5[[#This Row],[Product_Code]],ProductLookupTable[[#All],[Product_Code]],ProductLookupTable[[#All],[Category]],"NOT FOUND")</f>
        <v>Accessories</v>
      </c>
      <c r="P352" cm="1">
        <f t="array" ref="P352">_xlfn.XLOOKUP(RawSalesTable5[[#This Row],[Product_Code]],ProductLookupTable[[#All],[Product_Code]],ProductLookupTable[[#All],[Unit_Price]],"NOT FOUND")</f>
        <v>799</v>
      </c>
      <c r="Q352" t="str">
        <f>IF(COUNTIF(ProductLookupTable[Product_Code],RawSalesTable5[[#This Row],[Product_Code]])=0,"Missing Product","OK")</f>
        <v>OK</v>
      </c>
      <c r="R352" cm="1">
        <f t="array" ref="R352">_xlfn.XLOOKUP(RawSalesTable5[[#This Row],[Product_Code]],ProductLookupTable[[#All],[Product_Code]],ProductLookupTable[[#All],[Unit_Cost]],"NOT FOUND")</f>
        <v>420</v>
      </c>
      <c r="S352">
        <f>IFERROR(RawSalesTable5[[#This Row],[Quantity]]*RawSalesTable5[[#This Row],[Unit_Price]],"NOT FOUND")</f>
        <v>1598</v>
      </c>
      <c r="T352">
        <f>IFERROR(RawSalesTable5[[#This Row],[Gross_Revenue]]*RawSalesTable5[[#This Row],[Discount_Pct]],"NOT FOUND")</f>
        <v>0</v>
      </c>
      <c r="U352">
        <f>IFERROR(RawSalesTable5[[#This Row],[Gross_Revenue]]-RawSalesTable5[[#This Row],[Discount_Value]],"NOT FOUND")</f>
        <v>1598</v>
      </c>
      <c r="V352">
        <f>IFERROR(RawSalesTable5[[#This Row],[Quantity]]*RawSalesTable5[[#This Row],[Unit_Cost]],"NOT FOUND")</f>
        <v>840</v>
      </c>
      <c r="W352">
        <f>IFERROR(RawSalesTable5[[#This Row],[Net_Revenue]]-RawSalesTable5[[#This Row],[Cost]],"NOT FOUND")</f>
        <v>758</v>
      </c>
      <c r="X352" s="27">
        <f>IF(RawSalesTable5[[#This Row],[Lookup_Status]]="Missing Product","",IFERROR(RawSalesTable5[[#This Row],[Profit]]/RawSalesTable5[[#This Row],[Net_Revenue]],0))</f>
        <v>0.47434292866082606</v>
      </c>
      <c r="Y352">
        <f>RawSalesTable5[[#This Row],[Ship_Date]]-RawSalesTable5[[#This Row],[Order_Date]]</f>
        <v>2</v>
      </c>
      <c r="Z352" s="28">
        <f>DATE(YEAR(RawSalesTable5[[#This Row],[Order_Date]]),MONTH(RawSalesTable5[[#This Row],[Order_Date]]),1)</f>
        <v>45839</v>
      </c>
      <c r="AA352" t="str" cm="1">
        <f t="array" ref="AA352">IF(RawSalesTable5[[#This Row],[Lookup_Status]]="Missing Product","",_xlfn.IFS(RawSalesTable5[[#This Row],[Net_Revenue]]&gt;=20000,"High",RawSalesTable5[[#This Row],[Net_Revenue]]&gt;=10000,"Medium",TRUE,"Low"))</f>
        <v>Low</v>
      </c>
    </row>
    <row r="353" spans="1:27">
      <c r="A353" t="s">
        <v>485</v>
      </c>
      <c r="B353" s="15">
        <v>45976</v>
      </c>
      <c r="C353" s="15">
        <v>45983</v>
      </c>
      <c r="D353" t="s">
        <v>114</v>
      </c>
      <c r="E353" t="s">
        <v>101</v>
      </c>
      <c r="F353" t="s">
        <v>154</v>
      </c>
      <c r="G353" t="s">
        <v>86</v>
      </c>
      <c r="H353" t="s">
        <v>87</v>
      </c>
      <c r="I353" s="17">
        <v>3</v>
      </c>
      <c r="J353" s="16">
        <v>0.15</v>
      </c>
      <c r="K353" t="s">
        <v>140</v>
      </c>
      <c r="L353" t="s">
        <v>89</v>
      </c>
      <c r="M353" s="17">
        <v>3</v>
      </c>
      <c r="N353" t="str" cm="1">
        <f t="array" ref="N353">_xlfn.XLOOKUP(RawSalesTable5[[#This Row],[Product_Code]],ProductLookupTable[[#All],[Product_Code]],ProductLookupTable[[#All],[Product_Name]],"NOT FOUND")</f>
        <v>Laptop Stand</v>
      </c>
      <c r="O353" t="str" cm="1">
        <f t="array" ref="O353">_xlfn.XLOOKUP(RawSalesTable5[[#This Row],[Product_Code]],ProductLookupTable[[#All],[Product_Code]],ProductLookupTable[[#All],[Category]],"NOT FOUND")</f>
        <v>Accessories</v>
      </c>
      <c r="P353" cm="1">
        <f t="array" ref="P353">_xlfn.XLOOKUP(RawSalesTable5[[#This Row],[Product_Code]],ProductLookupTable[[#All],[Product_Code]],ProductLookupTable[[#All],[Unit_Price]],"NOT FOUND")</f>
        <v>1899</v>
      </c>
      <c r="Q353" t="str">
        <f>IF(COUNTIF(ProductLookupTable[Product_Code],RawSalesTable5[[#This Row],[Product_Code]])=0,"Missing Product","OK")</f>
        <v>OK</v>
      </c>
      <c r="R353" cm="1">
        <f t="array" ref="R353">_xlfn.XLOOKUP(RawSalesTable5[[#This Row],[Product_Code]],ProductLookupTable[[#All],[Product_Code]],ProductLookupTable[[#All],[Unit_Cost]],"NOT FOUND")</f>
        <v>980</v>
      </c>
      <c r="S353">
        <f>IFERROR(RawSalesTable5[[#This Row],[Quantity]]*RawSalesTable5[[#This Row],[Unit_Price]],"NOT FOUND")</f>
        <v>5697</v>
      </c>
      <c r="T353">
        <f>IFERROR(RawSalesTable5[[#This Row],[Gross_Revenue]]*RawSalesTable5[[#This Row],[Discount_Pct]],"NOT FOUND")</f>
        <v>854.55</v>
      </c>
      <c r="U353">
        <f>IFERROR(RawSalesTable5[[#This Row],[Gross_Revenue]]-RawSalesTable5[[#This Row],[Discount_Value]],"NOT FOUND")</f>
        <v>4842.45</v>
      </c>
      <c r="V353">
        <f>IFERROR(RawSalesTable5[[#This Row],[Quantity]]*RawSalesTable5[[#This Row],[Unit_Cost]],"NOT FOUND")</f>
        <v>2940</v>
      </c>
      <c r="W353">
        <f>IFERROR(RawSalesTable5[[#This Row],[Net_Revenue]]-RawSalesTable5[[#This Row],[Cost]],"NOT FOUND")</f>
        <v>1902.4499999999998</v>
      </c>
      <c r="X353" s="27">
        <f>IF(RawSalesTable5[[#This Row],[Lookup_Status]]="Missing Product","",IFERROR(RawSalesTable5[[#This Row],[Profit]]/RawSalesTable5[[#This Row],[Net_Revenue]],0))</f>
        <v>0.39286931202180714</v>
      </c>
      <c r="Y353">
        <f>RawSalesTable5[[#This Row],[Ship_Date]]-RawSalesTable5[[#This Row],[Order_Date]]</f>
        <v>7</v>
      </c>
      <c r="Z353" s="28">
        <f>DATE(YEAR(RawSalesTable5[[#This Row],[Order_Date]]),MONTH(RawSalesTable5[[#This Row],[Order_Date]]),1)</f>
        <v>45962</v>
      </c>
      <c r="AA353" t="str" cm="1">
        <f t="array" ref="AA353">IF(RawSalesTable5[[#This Row],[Lookup_Status]]="Missing Product","",_xlfn.IFS(RawSalesTable5[[#This Row],[Net_Revenue]]&gt;=20000,"High",RawSalesTable5[[#This Row],[Net_Revenue]]&gt;=10000,"Medium",TRUE,"Low"))</f>
        <v>Low</v>
      </c>
    </row>
    <row r="354" spans="1:27">
      <c r="A354" t="s">
        <v>486</v>
      </c>
      <c r="B354" s="15">
        <v>45890</v>
      </c>
      <c r="C354" s="15">
        <v>45896</v>
      </c>
      <c r="D354" t="s">
        <v>157</v>
      </c>
      <c r="E354" t="s">
        <v>106</v>
      </c>
      <c r="F354" t="s">
        <v>102</v>
      </c>
      <c r="G354" t="s">
        <v>94</v>
      </c>
      <c r="H354" t="s">
        <v>103</v>
      </c>
      <c r="I354" s="17">
        <v>3</v>
      </c>
      <c r="J354" s="16">
        <v>0.2</v>
      </c>
      <c r="K354" t="s">
        <v>95</v>
      </c>
      <c r="L354" t="s">
        <v>126</v>
      </c>
      <c r="M354" s="17">
        <v>3</v>
      </c>
      <c r="N354" t="str" cm="1">
        <f t="array" ref="N354">_xlfn.XLOOKUP(RawSalesTable5[[#This Row],[Product_Code]],ProductLookupTable[[#All],[Product_Code]],ProductLookupTable[[#All],[Product_Name]],"NOT FOUND")</f>
        <v>SSD 1TB</v>
      </c>
      <c r="O354" t="str" cm="1">
        <f t="array" ref="O354">_xlfn.XLOOKUP(RawSalesTable5[[#This Row],[Product_Code]],ProductLookupTable[[#All],[Product_Code]],ProductLookupTable[[#All],[Category]],"NOT FOUND")</f>
        <v>Storage</v>
      </c>
      <c r="P354" cm="1">
        <f t="array" ref="P354">_xlfn.XLOOKUP(RawSalesTable5[[#This Row],[Product_Code]],ProductLookupTable[[#All],[Product_Code]],ProductLookupTable[[#All],[Unit_Price]],"NOT FOUND")</f>
        <v>6999</v>
      </c>
      <c r="Q354" t="str">
        <f>IF(COUNTIF(ProductLookupTable[Product_Code],RawSalesTable5[[#This Row],[Product_Code]])=0,"Missing Product","OK")</f>
        <v>OK</v>
      </c>
      <c r="R354" cm="1">
        <f t="array" ref="R354">_xlfn.XLOOKUP(RawSalesTable5[[#This Row],[Product_Code]],ProductLookupTable[[#All],[Product_Code]],ProductLookupTable[[#All],[Unit_Cost]],"NOT FOUND")</f>
        <v>4900</v>
      </c>
      <c r="S354">
        <f>IFERROR(RawSalesTable5[[#This Row],[Quantity]]*RawSalesTable5[[#This Row],[Unit_Price]],"NOT FOUND")</f>
        <v>20997</v>
      </c>
      <c r="T354">
        <f>IFERROR(RawSalesTable5[[#This Row],[Gross_Revenue]]*RawSalesTable5[[#This Row],[Discount_Pct]],"NOT FOUND")</f>
        <v>4199.4000000000005</v>
      </c>
      <c r="U354">
        <f>IFERROR(RawSalesTable5[[#This Row],[Gross_Revenue]]-RawSalesTable5[[#This Row],[Discount_Value]],"NOT FOUND")</f>
        <v>16797.599999999999</v>
      </c>
      <c r="V354">
        <f>IFERROR(RawSalesTable5[[#This Row],[Quantity]]*RawSalesTable5[[#This Row],[Unit_Cost]],"NOT FOUND")</f>
        <v>14700</v>
      </c>
      <c r="W354">
        <f>IFERROR(RawSalesTable5[[#This Row],[Net_Revenue]]-RawSalesTable5[[#This Row],[Cost]],"NOT FOUND")</f>
        <v>2097.5999999999985</v>
      </c>
      <c r="X354" s="27">
        <f>IF(RawSalesTable5[[#This Row],[Lookup_Status]]="Missing Product","",IFERROR(RawSalesTable5[[#This Row],[Profit]]/RawSalesTable5[[#This Row],[Net_Revenue]],0))</f>
        <v>0.12487498214030568</v>
      </c>
      <c r="Y354">
        <f>RawSalesTable5[[#This Row],[Ship_Date]]-RawSalesTable5[[#This Row],[Order_Date]]</f>
        <v>6</v>
      </c>
      <c r="Z354" s="28">
        <f>DATE(YEAR(RawSalesTable5[[#This Row],[Order_Date]]),MONTH(RawSalesTable5[[#This Row],[Order_Date]]),1)</f>
        <v>45870</v>
      </c>
      <c r="AA354" t="str" cm="1">
        <f t="array" ref="AA354">IF(RawSalesTable5[[#This Row],[Lookup_Status]]="Missing Product","",_xlfn.IFS(RawSalesTable5[[#This Row],[Net_Revenue]]&gt;=20000,"High",RawSalesTable5[[#This Row],[Net_Revenue]]&gt;=10000,"Medium",TRUE,"Low"))</f>
        <v>Medium</v>
      </c>
    </row>
    <row r="355" spans="1:27">
      <c r="A355" t="s">
        <v>487</v>
      </c>
      <c r="B355" s="15">
        <v>45750</v>
      </c>
      <c r="C355" s="15">
        <v>45754</v>
      </c>
      <c r="D355" t="s">
        <v>212</v>
      </c>
      <c r="E355" t="s">
        <v>111</v>
      </c>
      <c r="F355" t="s">
        <v>138</v>
      </c>
      <c r="G355" t="s">
        <v>108</v>
      </c>
      <c r="H355" t="s">
        <v>86</v>
      </c>
      <c r="I355" s="17">
        <v>1</v>
      </c>
      <c r="J355" s="16">
        <v>0.1</v>
      </c>
      <c r="K355" t="s">
        <v>140</v>
      </c>
      <c r="L355" t="s">
        <v>89</v>
      </c>
      <c r="M355" s="17">
        <v>3</v>
      </c>
      <c r="N355" t="str" cm="1">
        <f t="array" ref="N355">_xlfn.XLOOKUP(RawSalesTable5[[#This Row],[Product_Code]],ProductLookupTable[[#All],[Product_Code]],ProductLookupTable[[#All],[Product_Name]],"NOT FOUND")</f>
        <v>24-inch Monitor</v>
      </c>
      <c r="O355" t="str" cm="1">
        <f t="array" ref="O355">_xlfn.XLOOKUP(RawSalesTable5[[#This Row],[Product_Code]],ProductLookupTable[[#All],[Product_Code]],ProductLookupTable[[#All],[Category]],"NOT FOUND")</f>
        <v>Displays</v>
      </c>
      <c r="P355" cm="1">
        <f t="array" ref="P355">_xlfn.XLOOKUP(RawSalesTable5[[#This Row],[Product_Code]],ProductLookupTable[[#All],[Product_Code]],ProductLookupTable[[#All],[Unit_Price]],"NOT FOUND")</f>
        <v>12999</v>
      </c>
      <c r="Q355" t="str">
        <f>IF(COUNTIF(ProductLookupTable[Product_Code],RawSalesTable5[[#This Row],[Product_Code]])=0,"Missing Product","OK")</f>
        <v>OK</v>
      </c>
      <c r="R355" cm="1">
        <f t="array" ref="R355">_xlfn.XLOOKUP(RawSalesTable5[[#This Row],[Product_Code]],ProductLookupTable[[#All],[Product_Code]],ProductLookupTable[[#All],[Unit_Cost]],"NOT FOUND")</f>
        <v>9100</v>
      </c>
      <c r="S355">
        <f>IFERROR(RawSalesTable5[[#This Row],[Quantity]]*RawSalesTable5[[#This Row],[Unit_Price]],"NOT FOUND")</f>
        <v>12999</v>
      </c>
      <c r="T355">
        <f>IFERROR(RawSalesTable5[[#This Row],[Gross_Revenue]]*RawSalesTable5[[#This Row],[Discount_Pct]],"NOT FOUND")</f>
        <v>1299.9000000000001</v>
      </c>
      <c r="U355">
        <f>IFERROR(RawSalesTable5[[#This Row],[Gross_Revenue]]-RawSalesTable5[[#This Row],[Discount_Value]],"NOT FOUND")</f>
        <v>11699.1</v>
      </c>
      <c r="V355">
        <f>IFERROR(RawSalesTable5[[#This Row],[Quantity]]*RawSalesTable5[[#This Row],[Unit_Cost]],"NOT FOUND")</f>
        <v>9100</v>
      </c>
      <c r="W355">
        <f>IFERROR(RawSalesTable5[[#This Row],[Net_Revenue]]-RawSalesTable5[[#This Row],[Cost]],"NOT FOUND")</f>
        <v>2599.1000000000004</v>
      </c>
      <c r="X355" s="27">
        <f>IF(RawSalesTable5[[#This Row],[Lookup_Status]]="Missing Product","",IFERROR(RawSalesTable5[[#This Row],[Profit]]/RawSalesTable5[[#This Row],[Net_Revenue]],0))</f>
        <v>0.22216238855980378</v>
      </c>
      <c r="Y355">
        <f>RawSalesTable5[[#This Row],[Ship_Date]]-RawSalesTable5[[#This Row],[Order_Date]]</f>
        <v>4</v>
      </c>
      <c r="Z355" s="28">
        <f>DATE(YEAR(RawSalesTable5[[#This Row],[Order_Date]]),MONTH(RawSalesTable5[[#This Row],[Order_Date]]),1)</f>
        <v>45748</v>
      </c>
      <c r="AA355" t="str" cm="1">
        <f t="array" ref="AA355">IF(RawSalesTable5[[#This Row],[Lookup_Status]]="Missing Product","",_xlfn.IFS(RawSalesTable5[[#This Row],[Net_Revenue]]&gt;=20000,"High",RawSalesTable5[[#This Row],[Net_Revenue]]&gt;=10000,"Medium",TRUE,"Low"))</f>
        <v>Medium</v>
      </c>
    </row>
    <row r="356" spans="1:27">
      <c r="A356" t="s">
        <v>488</v>
      </c>
      <c r="B356" s="15">
        <v>45858</v>
      </c>
      <c r="C356" s="15">
        <v>45860</v>
      </c>
      <c r="D356" t="s">
        <v>123</v>
      </c>
      <c r="E356" t="s">
        <v>84</v>
      </c>
      <c r="F356" t="s">
        <v>121</v>
      </c>
      <c r="G356" t="s">
        <v>108</v>
      </c>
      <c r="H356" t="s">
        <v>86</v>
      </c>
      <c r="I356" s="17">
        <v>2</v>
      </c>
      <c r="J356" s="16">
        <v>0.15</v>
      </c>
      <c r="K356" t="s">
        <v>95</v>
      </c>
      <c r="L356" t="s">
        <v>89</v>
      </c>
      <c r="M356" s="17">
        <v>5</v>
      </c>
      <c r="N356" t="str" cm="1">
        <f t="array" ref="N356">_xlfn.XLOOKUP(RawSalesTable5[[#This Row],[Product_Code]],ProductLookupTable[[#All],[Product_Code]],ProductLookupTable[[#All],[Product_Name]],"NOT FOUND")</f>
        <v>HD Webcam</v>
      </c>
      <c r="O356" t="str" cm="1">
        <f t="array" ref="O356">_xlfn.XLOOKUP(RawSalesTable5[[#This Row],[Product_Code]],ProductLookupTable[[#All],[Product_Code]],ProductLookupTable[[#All],[Category]],"NOT FOUND")</f>
        <v>Accessories</v>
      </c>
      <c r="P356" cm="1">
        <f t="array" ref="P356">_xlfn.XLOOKUP(RawSalesTable5[[#This Row],[Product_Code]],ProductLookupTable[[#All],[Product_Code]],ProductLookupTable[[#All],[Unit_Price]],"NOT FOUND")</f>
        <v>2899</v>
      </c>
      <c r="Q356" t="str">
        <f>IF(COUNTIF(ProductLookupTable[Product_Code],RawSalesTable5[[#This Row],[Product_Code]])=0,"Missing Product","OK")</f>
        <v>OK</v>
      </c>
      <c r="R356" cm="1">
        <f t="array" ref="R356">_xlfn.XLOOKUP(RawSalesTable5[[#This Row],[Product_Code]],ProductLookupTable[[#All],[Product_Code]],ProductLookupTable[[#All],[Unit_Cost]],"NOT FOUND")</f>
        <v>1700</v>
      </c>
      <c r="S356">
        <f>IFERROR(RawSalesTable5[[#This Row],[Quantity]]*RawSalesTable5[[#This Row],[Unit_Price]],"NOT FOUND")</f>
        <v>5798</v>
      </c>
      <c r="T356">
        <f>IFERROR(RawSalesTable5[[#This Row],[Gross_Revenue]]*RawSalesTable5[[#This Row],[Discount_Pct]],"NOT FOUND")</f>
        <v>869.69999999999993</v>
      </c>
      <c r="U356">
        <f>IFERROR(RawSalesTable5[[#This Row],[Gross_Revenue]]-RawSalesTable5[[#This Row],[Discount_Value]],"NOT FOUND")</f>
        <v>4928.3</v>
      </c>
      <c r="V356">
        <f>IFERROR(RawSalesTable5[[#This Row],[Quantity]]*RawSalesTable5[[#This Row],[Unit_Cost]],"NOT FOUND")</f>
        <v>3400</v>
      </c>
      <c r="W356">
        <f>IFERROR(RawSalesTable5[[#This Row],[Net_Revenue]]-RawSalesTable5[[#This Row],[Cost]],"NOT FOUND")</f>
        <v>1528.3000000000002</v>
      </c>
      <c r="X356" s="27">
        <f>IF(RawSalesTable5[[#This Row],[Lookup_Status]]="Missing Product","",IFERROR(RawSalesTable5[[#This Row],[Profit]]/RawSalesTable5[[#This Row],[Net_Revenue]],0))</f>
        <v>0.31010693342531909</v>
      </c>
      <c r="Y356">
        <f>RawSalesTable5[[#This Row],[Ship_Date]]-RawSalesTable5[[#This Row],[Order_Date]]</f>
        <v>2</v>
      </c>
      <c r="Z356" s="28">
        <f>DATE(YEAR(RawSalesTable5[[#This Row],[Order_Date]]),MONTH(RawSalesTable5[[#This Row],[Order_Date]]),1)</f>
        <v>45839</v>
      </c>
      <c r="AA356" t="str" cm="1">
        <f t="array" ref="AA356">IF(RawSalesTable5[[#This Row],[Lookup_Status]]="Missing Product","",_xlfn.IFS(RawSalesTable5[[#This Row],[Net_Revenue]]&gt;=20000,"High",RawSalesTable5[[#This Row],[Net_Revenue]]&gt;=10000,"Medium",TRUE,"Low"))</f>
        <v>Low</v>
      </c>
    </row>
    <row r="357" spans="1:27">
      <c r="A357" t="s">
        <v>489</v>
      </c>
      <c r="B357" s="15">
        <v>45794</v>
      </c>
      <c r="C357" s="15">
        <v>45797</v>
      </c>
      <c r="D357" t="s">
        <v>83</v>
      </c>
      <c r="E357" t="s">
        <v>92</v>
      </c>
      <c r="F357" t="s">
        <v>147</v>
      </c>
      <c r="G357" t="s">
        <v>86</v>
      </c>
      <c r="H357" t="s">
        <v>87</v>
      </c>
      <c r="I357" s="17">
        <v>2</v>
      </c>
      <c r="J357" s="16">
        <v>0.05</v>
      </c>
      <c r="K357" t="s">
        <v>119</v>
      </c>
      <c r="L357" t="s">
        <v>89</v>
      </c>
      <c r="M357" s="17">
        <v>4</v>
      </c>
      <c r="N357" t="str" cm="1">
        <f t="array" ref="N357">_xlfn.XLOOKUP(RawSalesTable5[[#This Row],[Product_Code]],ProductLookupTable[[#All],[Product_Code]],ProductLookupTable[[#All],[Product_Name]],"NOT FOUND")</f>
        <v>LED Desk Lamp</v>
      </c>
      <c r="O357" t="str" cm="1">
        <f t="array" ref="O357">_xlfn.XLOOKUP(RawSalesTable5[[#This Row],[Product_Code]],ProductLookupTable[[#All],[Product_Code]],ProductLookupTable[[#All],[Category]],"NOT FOUND")</f>
        <v>Furniture</v>
      </c>
      <c r="P357" cm="1">
        <f t="array" ref="P357">_xlfn.XLOOKUP(RawSalesTable5[[#This Row],[Product_Code]],ProductLookupTable[[#All],[Product_Code]],ProductLookupTable[[#All],[Unit_Price]],"NOT FOUND")</f>
        <v>1999</v>
      </c>
      <c r="Q357" t="str">
        <f>IF(COUNTIF(ProductLookupTable[Product_Code],RawSalesTable5[[#This Row],[Product_Code]])=0,"Missing Product","OK")</f>
        <v>OK</v>
      </c>
      <c r="R357" cm="1">
        <f t="array" ref="R357">_xlfn.XLOOKUP(RawSalesTable5[[#This Row],[Product_Code]],ProductLookupTable[[#All],[Product_Code]],ProductLookupTable[[#All],[Unit_Cost]],"NOT FOUND")</f>
        <v>1050</v>
      </c>
      <c r="S357">
        <f>IFERROR(RawSalesTable5[[#This Row],[Quantity]]*RawSalesTable5[[#This Row],[Unit_Price]],"NOT FOUND")</f>
        <v>3998</v>
      </c>
      <c r="T357">
        <f>IFERROR(RawSalesTable5[[#This Row],[Gross_Revenue]]*RawSalesTable5[[#This Row],[Discount_Pct]],"NOT FOUND")</f>
        <v>199.9</v>
      </c>
      <c r="U357">
        <f>IFERROR(RawSalesTable5[[#This Row],[Gross_Revenue]]-RawSalesTable5[[#This Row],[Discount_Value]],"NOT FOUND")</f>
        <v>3798.1</v>
      </c>
      <c r="V357">
        <f>IFERROR(RawSalesTable5[[#This Row],[Quantity]]*RawSalesTable5[[#This Row],[Unit_Cost]],"NOT FOUND")</f>
        <v>2100</v>
      </c>
      <c r="W357">
        <f>IFERROR(RawSalesTable5[[#This Row],[Net_Revenue]]-RawSalesTable5[[#This Row],[Cost]],"NOT FOUND")</f>
        <v>1698.1</v>
      </c>
      <c r="X357" s="27">
        <f>IF(RawSalesTable5[[#This Row],[Lookup_Status]]="Missing Product","",IFERROR(RawSalesTable5[[#This Row],[Profit]]/RawSalesTable5[[#This Row],[Net_Revenue]],0))</f>
        <v>0.44709196703614962</v>
      </c>
      <c r="Y357">
        <f>RawSalesTable5[[#This Row],[Ship_Date]]-RawSalesTable5[[#This Row],[Order_Date]]</f>
        <v>3</v>
      </c>
      <c r="Z357" s="28">
        <f>DATE(YEAR(RawSalesTable5[[#This Row],[Order_Date]]),MONTH(RawSalesTable5[[#This Row],[Order_Date]]),1)</f>
        <v>45778</v>
      </c>
      <c r="AA357" t="str" cm="1">
        <f t="array" ref="AA357">IF(RawSalesTable5[[#This Row],[Lookup_Status]]="Missing Product","",_xlfn.IFS(RawSalesTable5[[#This Row],[Net_Revenue]]&gt;=20000,"High",RawSalesTable5[[#This Row],[Net_Revenue]]&gt;=10000,"Medium",TRUE,"Low"))</f>
        <v>Low</v>
      </c>
    </row>
    <row r="358" spans="1:27">
      <c r="A358" t="s">
        <v>490</v>
      </c>
      <c r="B358" s="15">
        <v>45881</v>
      </c>
      <c r="C358" s="15">
        <v>45884</v>
      </c>
      <c r="D358" t="s">
        <v>114</v>
      </c>
      <c r="E358" t="s">
        <v>98</v>
      </c>
      <c r="F358" t="s">
        <v>107</v>
      </c>
      <c r="G358" t="s">
        <v>86</v>
      </c>
      <c r="H358" t="s">
        <v>103</v>
      </c>
      <c r="I358" s="17">
        <v>4</v>
      </c>
      <c r="J358" s="16">
        <v>0.15</v>
      </c>
      <c r="K358" t="s">
        <v>95</v>
      </c>
      <c r="L358" t="s">
        <v>89</v>
      </c>
      <c r="M358" s="17">
        <v>3</v>
      </c>
      <c r="N358" t="str" cm="1">
        <f t="array" ref="N358">_xlfn.XLOOKUP(RawSalesTable5[[#This Row],[Product_Code]],ProductLookupTable[[#All],[Product_Code]],ProductLookupTable[[#All],[Product_Name]],"NOT FOUND")</f>
        <v>Bluetooth Speaker</v>
      </c>
      <c r="O358" t="str" cm="1">
        <f t="array" ref="O358">_xlfn.XLOOKUP(RawSalesTable5[[#This Row],[Product_Code]],ProductLookupTable[[#All],[Product_Code]],ProductLookupTable[[#All],[Category]],"NOT FOUND")</f>
        <v>Audio</v>
      </c>
      <c r="P358" cm="1">
        <f t="array" ref="P358">_xlfn.XLOOKUP(RawSalesTable5[[#This Row],[Product_Code]],ProductLookupTable[[#All],[Product_Code]],ProductLookupTable[[#All],[Unit_Price]],"NOT FOUND")</f>
        <v>2799</v>
      </c>
      <c r="Q358" t="str">
        <f>IF(COUNTIF(ProductLookupTable[Product_Code],RawSalesTable5[[#This Row],[Product_Code]])=0,"Missing Product","OK")</f>
        <v>OK</v>
      </c>
      <c r="R358" cm="1">
        <f t="array" ref="R358">_xlfn.XLOOKUP(RawSalesTable5[[#This Row],[Product_Code]],ProductLookupTable[[#All],[Product_Code]],ProductLookupTable[[#All],[Unit_Cost]],"NOT FOUND")</f>
        <v>1650</v>
      </c>
      <c r="S358">
        <f>IFERROR(RawSalesTable5[[#This Row],[Quantity]]*RawSalesTable5[[#This Row],[Unit_Price]],"NOT FOUND")</f>
        <v>11196</v>
      </c>
      <c r="T358">
        <f>IFERROR(RawSalesTable5[[#This Row],[Gross_Revenue]]*RawSalesTable5[[#This Row],[Discount_Pct]],"NOT FOUND")</f>
        <v>1679.3999999999999</v>
      </c>
      <c r="U358">
        <f>IFERROR(RawSalesTable5[[#This Row],[Gross_Revenue]]-RawSalesTable5[[#This Row],[Discount_Value]],"NOT FOUND")</f>
        <v>9516.6</v>
      </c>
      <c r="V358">
        <f>IFERROR(RawSalesTable5[[#This Row],[Quantity]]*RawSalesTable5[[#This Row],[Unit_Cost]],"NOT FOUND")</f>
        <v>6600</v>
      </c>
      <c r="W358">
        <f>IFERROR(RawSalesTable5[[#This Row],[Net_Revenue]]-RawSalesTable5[[#This Row],[Cost]],"NOT FOUND")</f>
        <v>2916.6000000000004</v>
      </c>
      <c r="X358" s="27">
        <f>IF(RawSalesTable5[[#This Row],[Lookup_Status]]="Missing Product","",IFERROR(RawSalesTable5[[#This Row],[Profit]]/RawSalesTable5[[#This Row],[Net_Revenue]],0))</f>
        <v>0.30647500157619323</v>
      </c>
      <c r="Y358">
        <f>RawSalesTable5[[#This Row],[Ship_Date]]-RawSalesTable5[[#This Row],[Order_Date]]</f>
        <v>3</v>
      </c>
      <c r="Z358" s="28">
        <f>DATE(YEAR(RawSalesTable5[[#This Row],[Order_Date]]),MONTH(RawSalesTable5[[#This Row],[Order_Date]]),1)</f>
        <v>45870</v>
      </c>
      <c r="AA358" t="str" cm="1">
        <f t="array" ref="AA358">IF(RawSalesTable5[[#This Row],[Lookup_Status]]="Missing Product","",_xlfn.IFS(RawSalesTable5[[#This Row],[Net_Revenue]]&gt;=20000,"High",RawSalesTable5[[#This Row],[Net_Revenue]]&gt;=10000,"Medium",TRUE,"Low"))</f>
        <v>Low</v>
      </c>
    </row>
    <row r="359" spans="1:27">
      <c r="A359" t="s">
        <v>491</v>
      </c>
      <c r="B359" s="15">
        <v>45819</v>
      </c>
      <c r="C359" s="15">
        <v>45826</v>
      </c>
      <c r="D359" t="s">
        <v>157</v>
      </c>
      <c r="E359" t="s">
        <v>101</v>
      </c>
      <c r="F359" t="s">
        <v>107</v>
      </c>
      <c r="G359" t="s">
        <v>125</v>
      </c>
      <c r="H359" t="s">
        <v>86</v>
      </c>
      <c r="I359" s="17">
        <v>2</v>
      </c>
      <c r="J359" s="16">
        <v>0</v>
      </c>
      <c r="K359" t="s">
        <v>95</v>
      </c>
      <c r="L359" t="s">
        <v>89</v>
      </c>
      <c r="M359" s="17">
        <v>5</v>
      </c>
      <c r="N359" t="str" cm="1">
        <f t="array" ref="N359">_xlfn.XLOOKUP(RawSalesTable5[[#This Row],[Product_Code]],ProductLookupTable[[#All],[Product_Code]],ProductLookupTable[[#All],[Product_Name]],"NOT FOUND")</f>
        <v>Bluetooth Speaker</v>
      </c>
      <c r="O359" t="str" cm="1">
        <f t="array" ref="O359">_xlfn.XLOOKUP(RawSalesTable5[[#This Row],[Product_Code]],ProductLookupTable[[#All],[Product_Code]],ProductLookupTable[[#All],[Category]],"NOT FOUND")</f>
        <v>Audio</v>
      </c>
      <c r="P359" cm="1">
        <f t="array" ref="P359">_xlfn.XLOOKUP(RawSalesTable5[[#This Row],[Product_Code]],ProductLookupTable[[#All],[Product_Code]],ProductLookupTable[[#All],[Unit_Price]],"NOT FOUND")</f>
        <v>2799</v>
      </c>
      <c r="Q359" t="str">
        <f>IF(COUNTIF(ProductLookupTable[Product_Code],RawSalesTable5[[#This Row],[Product_Code]])=0,"Missing Product","OK")</f>
        <v>OK</v>
      </c>
      <c r="R359" cm="1">
        <f t="array" ref="R359">_xlfn.XLOOKUP(RawSalesTable5[[#This Row],[Product_Code]],ProductLookupTable[[#All],[Product_Code]],ProductLookupTable[[#All],[Unit_Cost]],"NOT FOUND")</f>
        <v>1650</v>
      </c>
      <c r="S359">
        <f>IFERROR(RawSalesTable5[[#This Row],[Quantity]]*RawSalesTable5[[#This Row],[Unit_Price]],"NOT FOUND")</f>
        <v>5598</v>
      </c>
      <c r="T359">
        <f>IFERROR(RawSalesTable5[[#This Row],[Gross_Revenue]]*RawSalesTable5[[#This Row],[Discount_Pct]],"NOT FOUND")</f>
        <v>0</v>
      </c>
      <c r="U359">
        <f>IFERROR(RawSalesTable5[[#This Row],[Gross_Revenue]]-RawSalesTable5[[#This Row],[Discount_Value]],"NOT FOUND")</f>
        <v>5598</v>
      </c>
      <c r="V359">
        <f>IFERROR(RawSalesTable5[[#This Row],[Quantity]]*RawSalesTable5[[#This Row],[Unit_Cost]],"NOT FOUND")</f>
        <v>3300</v>
      </c>
      <c r="W359">
        <f>IFERROR(RawSalesTable5[[#This Row],[Net_Revenue]]-RawSalesTable5[[#This Row],[Cost]],"NOT FOUND")</f>
        <v>2298</v>
      </c>
      <c r="X359" s="27">
        <f>IF(RawSalesTable5[[#This Row],[Lookup_Status]]="Missing Product","",IFERROR(RawSalesTable5[[#This Row],[Profit]]/RawSalesTable5[[#This Row],[Net_Revenue]],0))</f>
        <v>0.41050375133976419</v>
      </c>
      <c r="Y359">
        <f>RawSalesTable5[[#This Row],[Ship_Date]]-RawSalesTable5[[#This Row],[Order_Date]]</f>
        <v>7</v>
      </c>
      <c r="Z359" s="28">
        <f>DATE(YEAR(RawSalesTable5[[#This Row],[Order_Date]]),MONTH(RawSalesTable5[[#This Row],[Order_Date]]),1)</f>
        <v>45809</v>
      </c>
      <c r="AA359" t="str" cm="1">
        <f t="array" ref="AA359">IF(RawSalesTable5[[#This Row],[Lookup_Status]]="Missing Product","",_xlfn.IFS(RawSalesTable5[[#This Row],[Net_Revenue]]&gt;=20000,"High",RawSalesTable5[[#This Row],[Net_Revenue]]&gt;=10000,"Medium",TRUE,"Low"))</f>
        <v>Low</v>
      </c>
    </row>
    <row r="360" spans="1:27">
      <c r="A360" t="s">
        <v>492</v>
      </c>
      <c r="B360" s="15">
        <v>45692</v>
      </c>
      <c r="C360" s="15">
        <v>45694</v>
      </c>
      <c r="D360" t="s">
        <v>212</v>
      </c>
      <c r="E360" t="s">
        <v>106</v>
      </c>
      <c r="F360" t="s">
        <v>107</v>
      </c>
      <c r="G360" t="s">
        <v>94</v>
      </c>
      <c r="H360" t="s">
        <v>103</v>
      </c>
      <c r="I360" s="17">
        <v>3</v>
      </c>
      <c r="J360" s="16">
        <v>0</v>
      </c>
      <c r="K360" t="s">
        <v>140</v>
      </c>
      <c r="L360" t="s">
        <v>89</v>
      </c>
      <c r="M360" s="17">
        <v>5</v>
      </c>
      <c r="N360" t="str" cm="1">
        <f t="array" ref="N360">_xlfn.XLOOKUP(RawSalesTable5[[#This Row],[Product_Code]],ProductLookupTable[[#All],[Product_Code]],ProductLookupTable[[#All],[Product_Name]],"NOT FOUND")</f>
        <v>Bluetooth Speaker</v>
      </c>
      <c r="O360" t="str" cm="1">
        <f t="array" ref="O360">_xlfn.XLOOKUP(RawSalesTable5[[#This Row],[Product_Code]],ProductLookupTable[[#All],[Product_Code]],ProductLookupTable[[#All],[Category]],"NOT FOUND")</f>
        <v>Audio</v>
      </c>
      <c r="P360" cm="1">
        <f t="array" ref="P360">_xlfn.XLOOKUP(RawSalesTable5[[#This Row],[Product_Code]],ProductLookupTable[[#All],[Product_Code]],ProductLookupTable[[#All],[Unit_Price]],"NOT FOUND")</f>
        <v>2799</v>
      </c>
      <c r="Q360" t="str">
        <f>IF(COUNTIF(ProductLookupTable[Product_Code],RawSalesTable5[[#This Row],[Product_Code]])=0,"Missing Product","OK")</f>
        <v>OK</v>
      </c>
      <c r="R360" cm="1">
        <f t="array" ref="R360">_xlfn.XLOOKUP(RawSalesTable5[[#This Row],[Product_Code]],ProductLookupTable[[#All],[Product_Code]],ProductLookupTable[[#All],[Unit_Cost]],"NOT FOUND")</f>
        <v>1650</v>
      </c>
      <c r="S360">
        <f>IFERROR(RawSalesTable5[[#This Row],[Quantity]]*RawSalesTable5[[#This Row],[Unit_Price]],"NOT FOUND")</f>
        <v>8397</v>
      </c>
      <c r="T360">
        <f>IFERROR(RawSalesTable5[[#This Row],[Gross_Revenue]]*RawSalesTable5[[#This Row],[Discount_Pct]],"NOT FOUND")</f>
        <v>0</v>
      </c>
      <c r="U360">
        <f>IFERROR(RawSalesTable5[[#This Row],[Gross_Revenue]]-RawSalesTable5[[#This Row],[Discount_Value]],"NOT FOUND")</f>
        <v>8397</v>
      </c>
      <c r="V360">
        <f>IFERROR(RawSalesTable5[[#This Row],[Quantity]]*RawSalesTable5[[#This Row],[Unit_Cost]],"NOT FOUND")</f>
        <v>4950</v>
      </c>
      <c r="W360">
        <f>IFERROR(RawSalesTable5[[#This Row],[Net_Revenue]]-RawSalesTable5[[#This Row],[Cost]],"NOT FOUND")</f>
        <v>3447</v>
      </c>
      <c r="X360" s="27">
        <f>IF(RawSalesTable5[[#This Row],[Lookup_Status]]="Missing Product","",IFERROR(RawSalesTable5[[#This Row],[Profit]]/RawSalesTable5[[#This Row],[Net_Revenue]],0))</f>
        <v>0.41050375133976419</v>
      </c>
      <c r="Y360">
        <f>RawSalesTable5[[#This Row],[Ship_Date]]-RawSalesTable5[[#This Row],[Order_Date]]</f>
        <v>2</v>
      </c>
      <c r="Z360" s="28">
        <f>DATE(YEAR(RawSalesTable5[[#This Row],[Order_Date]]),MONTH(RawSalesTable5[[#This Row],[Order_Date]]),1)</f>
        <v>45689</v>
      </c>
      <c r="AA360" t="str" cm="1">
        <f t="array" ref="AA360">IF(RawSalesTable5[[#This Row],[Lookup_Status]]="Missing Product","",_xlfn.IFS(RawSalesTable5[[#This Row],[Net_Revenue]]&gt;=20000,"High",RawSalesTable5[[#This Row],[Net_Revenue]]&gt;=10000,"Medium",TRUE,"Low"))</f>
        <v>Low</v>
      </c>
    </row>
    <row r="361" spans="1:27">
      <c r="A361" t="s">
        <v>493</v>
      </c>
      <c r="B361" s="15">
        <v>45877</v>
      </c>
      <c r="C361" s="15">
        <v>45880</v>
      </c>
      <c r="D361" t="s">
        <v>123</v>
      </c>
      <c r="E361" t="s">
        <v>111</v>
      </c>
      <c r="F361" t="s">
        <v>102</v>
      </c>
      <c r="G361" t="s">
        <v>125</v>
      </c>
      <c r="H361" t="s">
        <v>86</v>
      </c>
      <c r="I361" s="17">
        <v>3</v>
      </c>
      <c r="J361" s="16">
        <v>0.15</v>
      </c>
      <c r="K361" t="s">
        <v>140</v>
      </c>
      <c r="L361" t="s">
        <v>89</v>
      </c>
      <c r="M361" s="17">
        <v>3</v>
      </c>
      <c r="N361" t="str" cm="1">
        <f t="array" ref="N361">_xlfn.XLOOKUP(RawSalesTable5[[#This Row],[Product_Code]],ProductLookupTable[[#All],[Product_Code]],ProductLookupTable[[#All],[Product_Name]],"NOT FOUND")</f>
        <v>SSD 1TB</v>
      </c>
      <c r="O361" t="str" cm="1">
        <f t="array" ref="O361">_xlfn.XLOOKUP(RawSalesTable5[[#This Row],[Product_Code]],ProductLookupTable[[#All],[Product_Code]],ProductLookupTable[[#All],[Category]],"NOT FOUND")</f>
        <v>Storage</v>
      </c>
      <c r="P361" cm="1">
        <f t="array" ref="P361">_xlfn.XLOOKUP(RawSalesTable5[[#This Row],[Product_Code]],ProductLookupTable[[#All],[Product_Code]],ProductLookupTable[[#All],[Unit_Price]],"NOT FOUND")</f>
        <v>6999</v>
      </c>
      <c r="Q361" t="str">
        <f>IF(COUNTIF(ProductLookupTable[Product_Code],RawSalesTable5[[#This Row],[Product_Code]])=0,"Missing Product","OK")</f>
        <v>OK</v>
      </c>
      <c r="R361" cm="1">
        <f t="array" ref="R361">_xlfn.XLOOKUP(RawSalesTable5[[#This Row],[Product_Code]],ProductLookupTable[[#All],[Product_Code]],ProductLookupTable[[#All],[Unit_Cost]],"NOT FOUND")</f>
        <v>4900</v>
      </c>
      <c r="S361">
        <f>IFERROR(RawSalesTable5[[#This Row],[Quantity]]*RawSalesTable5[[#This Row],[Unit_Price]],"NOT FOUND")</f>
        <v>20997</v>
      </c>
      <c r="T361">
        <f>IFERROR(RawSalesTable5[[#This Row],[Gross_Revenue]]*RawSalesTable5[[#This Row],[Discount_Pct]],"NOT FOUND")</f>
        <v>3149.5499999999997</v>
      </c>
      <c r="U361">
        <f>IFERROR(RawSalesTable5[[#This Row],[Gross_Revenue]]-RawSalesTable5[[#This Row],[Discount_Value]],"NOT FOUND")</f>
        <v>17847.45</v>
      </c>
      <c r="V361">
        <f>IFERROR(RawSalesTable5[[#This Row],[Quantity]]*RawSalesTable5[[#This Row],[Unit_Cost]],"NOT FOUND")</f>
        <v>14700</v>
      </c>
      <c r="W361">
        <f>IFERROR(RawSalesTable5[[#This Row],[Net_Revenue]]-RawSalesTable5[[#This Row],[Cost]],"NOT FOUND")</f>
        <v>3147.4500000000007</v>
      </c>
      <c r="X361" s="27">
        <f>IF(RawSalesTable5[[#This Row],[Lookup_Status]]="Missing Product","",IFERROR(RawSalesTable5[[#This Row],[Profit]]/RawSalesTable5[[#This Row],[Net_Revenue]],0))</f>
        <v>0.17635292436734662</v>
      </c>
      <c r="Y361">
        <f>RawSalesTable5[[#This Row],[Ship_Date]]-RawSalesTable5[[#This Row],[Order_Date]]</f>
        <v>3</v>
      </c>
      <c r="Z361" s="28">
        <f>DATE(YEAR(RawSalesTable5[[#This Row],[Order_Date]]),MONTH(RawSalesTable5[[#This Row],[Order_Date]]),1)</f>
        <v>45870</v>
      </c>
      <c r="AA361" t="str" cm="1">
        <f t="array" ref="AA361">IF(RawSalesTable5[[#This Row],[Lookup_Status]]="Missing Product","",_xlfn.IFS(RawSalesTable5[[#This Row],[Net_Revenue]]&gt;=20000,"High",RawSalesTable5[[#This Row],[Net_Revenue]]&gt;=10000,"Medium",TRUE,"Low"))</f>
        <v>Medium</v>
      </c>
    </row>
  </sheetData>
  <conditionalFormatting sqref="A59:W59 AB59:XFD59 Y59"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A181:W181 AB181:XFD181 Y181">
    <cfRule type="iconSet" priority="2">
      <iconSet iconSet="3Flags">
        <cfvo type="percent" val="0"/>
        <cfvo type="percent" val="33"/>
        <cfvo type="percent" val="67"/>
      </iconSet>
    </cfRule>
  </conditionalFormatting>
  <conditionalFormatting sqref="A285:W285 AB285:XFD285 Y285">
    <cfRule type="iconSet" priority="1">
      <iconSet iconSet="3Flags">
        <cfvo type="percent" val="0"/>
        <cfvo type="percent" val="33"/>
        <cfvo type="percent" val="67"/>
      </iconSet>
    </cfRule>
  </conditionalFormatting>
  <conditionalFormatting sqref="N21">
    <cfRule type="iconSet" priority="4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7"/>
  <sheetViews>
    <sheetView showGridLines="0" topLeftCell="B1" workbookViewId="0"/>
  </sheetViews>
  <sheetFormatPr defaultRowHeight="13.8"/>
  <cols>
    <col min="1" max="1" width="15" customWidth="1"/>
    <col min="2" max="3" width="13" customWidth="1"/>
    <col min="4" max="4" width="16" customWidth="1"/>
    <col min="5" max="6" width="15" customWidth="1"/>
    <col min="7" max="7" width="17" customWidth="1"/>
    <col min="8" max="8" width="19" customWidth="1"/>
    <col min="9" max="9" width="11" customWidth="1"/>
    <col min="10" max="10" width="13" customWidth="1"/>
    <col min="11" max="11" width="18" customWidth="1"/>
    <col min="12" max="12" width="11" customWidth="1"/>
    <col min="13" max="13" width="17" customWidth="1"/>
  </cols>
  <sheetData>
    <row r="1" spans="1:1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>
      <c r="A2" t="s">
        <v>82</v>
      </c>
      <c r="B2" s="15">
        <v>45792</v>
      </c>
      <c r="C2" s="15">
        <v>45794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s="17">
        <v>2</v>
      </c>
      <c r="J2" s="16">
        <v>0</v>
      </c>
      <c r="K2" t="s">
        <v>88</v>
      </c>
      <c r="L2" t="s">
        <v>89</v>
      </c>
      <c r="M2" s="17">
        <v>4</v>
      </c>
    </row>
    <row r="3" spans="1:13">
      <c r="A3" t="s">
        <v>90</v>
      </c>
      <c r="B3" s="15">
        <v>45985</v>
      </c>
      <c r="C3" s="15">
        <v>45987</v>
      </c>
      <c r="D3" t="s">
        <v>91</v>
      </c>
      <c r="E3" t="s">
        <v>92</v>
      </c>
      <c r="F3" t="s">
        <v>93</v>
      </c>
      <c r="G3" t="s">
        <v>94</v>
      </c>
      <c r="H3" t="s">
        <v>87</v>
      </c>
      <c r="I3" s="17">
        <v>2</v>
      </c>
      <c r="J3" s="16">
        <v>0</v>
      </c>
      <c r="K3" t="s">
        <v>95</v>
      </c>
      <c r="L3" t="s">
        <v>89</v>
      </c>
      <c r="M3" s="17">
        <v>3</v>
      </c>
    </row>
    <row r="4" spans="1:13">
      <c r="A4" t="s">
        <v>96</v>
      </c>
      <c r="B4" s="15">
        <v>45782</v>
      </c>
      <c r="C4" s="15">
        <v>45783</v>
      </c>
      <c r="D4" t="s">
        <v>97</v>
      </c>
      <c r="E4" t="s">
        <v>98</v>
      </c>
      <c r="F4" t="s">
        <v>93</v>
      </c>
      <c r="G4" t="s">
        <v>94</v>
      </c>
      <c r="H4" t="s">
        <v>86</v>
      </c>
      <c r="I4" s="17">
        <v>1</v>
      </c>
      <c r="J4" s="16">
        <v>0</v>
      </c>
      <c r="K4" t="s">
        <v>88</v>
      </c>
      <c r="L4" t="s">
        <v>89</v>
      </c>
      <c r="M4" s="17">
        <v>3</v>
      </c>
    </row>
    <row r="5" spans="1:13">
      <c r="A5" t="s">
        <v>99</v>
      </c>
      <c r="B5" s="15">
        <v>45851</v>
      </c>
      <c r="C5" s="15">
        <v>45858</v>
      </c>
      <c r="D5" t="s">
        <v>100</v>
      </c>
      <c r="E5" t="s">
        <v>101</v>
      </c>
      <c r="F5" t="s">
        <v>102</v>
      </c>
      <c r="G5" t="s">
        <v>86</v>
      </c>
      <c r="H5" t="s">
        <v>103</v>
      </c>
      <c r="I5" s="17">
        <v>2</v>
      </c>
      <c r="J5" s="16">
        <v>0.05</v>
      </c>
      <c r="K5" t="s">
        <v>88</v>
      </c>
      <c r="L5" t="s">
        <v>89</v>
      </c>
      <c r="M5" s="17">
        <v>4</v>
      </c>
    </row>
    <row r="6" spans="1:13">
      <c r="A6" t="s">
        <v>104</v>
      </c>
      <c r="B6" s="15">
        <v>45838</v>
      </c>
      <c r="C6" s="15">
        <v>45843</v>
      </c>
      <c r="D6" t="s">
        <v>105</v>
      </c>
      <c r="E6" t="s">
        <v>106</v>
      </c>
      <c r="F6" t="s">
        <v>107</v>
      </c>
      <c r="G6" t="s">
        <v>108</v>
      </c>
      <c r="H6" t="s">
        <v>103</v>
      </c>
      <c r="I6" s="17">
        <v>1</v>
      </c>
      <c r="J6" s="16">
        <v>0.2</v>
      </c>
      <c r="K6" t="s">
        <v>95</v>
      </c>
      <c r="L6" t="s">
        <v>89</v>
      </c>
      <c r="M6" s="17">
        <v>5</v>
      </c>
    </row>
    <row r="7" spans="1:13">
      <c r="A7" t="s">
        <v>109</v>
      </c>
      <c r="B7" s="15">
        <v>45964</v>
      </c>
      <c r="C7" s="15">
        <v>45972</v>
      </c>
      <c r="D7" t="s">
        <v>110</v>
      </c>
      <c r="E7" t="s">
        <v>111</v>
      </c>
      <c r="F7" t="s">
        <v>93</v>
      </c>
      <c r="G7" t="s">
        <v>94</v>
      </c>
      <c r="H7" t="s">
        <v>87</v>
      </c>
      <c r="I7" s="17">
        <v>4</v>
      </c>
      <c r="J7" s="16">
        <v>0.1</v>
      </c>
      <c r="K7" t="s">
        <v>112</v>
      </c>
      <c r="L7" t="s">
        <v>89</v>
      </c>
      <c r="M7" s="17">
        <v>4</v>
      </c>
    </row>
    <row r="8" spans="1:13">
      <c r="A8" t="s">
        <v>113</v>
      </c>
      <c r="B8" s="15">
        <v>45812</v>
      </c>
      <c r="C8" s="15">
        <v>45816</v>
      </c>
      <c r="D8" t="s">
        <v>114</v>
      </c>
      <c r="E8" t="s">
        <v>84</v>
      </c>
      <c r="F8" t="s">
        <v>115</v>
      </c>
      <c r="G8" t="s">
        <v>86</v>
      </c>
      <c r="H8" t="s">
        <v>103</v>
      </c>
      <c r="I8" s="17">
        <v>5</v>
      </c>
      <c r="J8" s="16">
        <v>0</v>
      </c>
      <c r="K8" t="s">
        <v>116</v>
      </c>
      <c r="L8" t="s">
        <v>89</v>
      </c>
      <c r="M8" s="17">
        <v>3</v>
      </c>
    </row>
    <row r="9" spans="1:13">
      <c r="A9" t="s">
        <v>117</v>
      </c>
      <c r="B9" s="15">
        <v>46020</v>
      </c>
      <c r="C9" s="15">
        <v>46024</v>
      </c>
      <c r="D9" t="s">
        <v>97</v>
      </c>
      <c r="E9" t="s">
        <v>92</v>
      </c>
      <c r="F9" t="s">
        <v>118</v>
      </c>
      <c r="G9" t="s">
        <v>108</v>
      </c>
      <c r="H9" t="s">
        <v>86</v>
      </c>
      <c r="I9" s="17">
        <v>5</v>
      </c>
      <c r="J9" s="16">
        <v>0</v>
      </c>
      <c r="K9" t="s">
        <v>119</v>
      </c>
      <c r="L9" t="s">
        <v>89</v>
      </c>
      <c r="M9" s="17">
        <v>5</v>
      </c>
    </row>
    <row r="10" spans="1:13">
      <c r="A10" t="s">
        <v>120</v>
      </c>
      <c r="B10" s="15">
        <v>45829</v>
      </c>
      <c r="C10" s="15">
        <v>45832</v>
      </c>
      <c r="D10" t="s">
        <v>100</v>
      </c>
      <c r="E10" t="s">
        <v>98</v>
      </c>
      <c r="F10" t="s">
        <v>121</v>
      </c>
      <c r="G10" t="s">
        <v>108</v>
      </c>
      <c r="H10" t="s">
        <v>87</v>
      </c>
      <c r="I10" s="17">
        <v>3</v>
      </c>
      <c r="J10" s="16">
        <v>0.1</v>
      </c>
      <c r="K10" t="s">
        <v>116</v>
      </c>
      <c r="L10" t="s">
        <v>89</v>
      </c>
      <c r="M10" s="17">
        <v>4</v>
      </c>
    </row>
    <row r="11" spans="1:13">
      <c r="A11" t="s">
        <v>122</v>
      </c>
      <c r="B11" s="15">
        <v>45778</v>
      </c>
      <c r="C11" s="15">
        <v>45786</v>
      </c>
      <c r="D11" t="s">
        <v>123</v>
      </c>
      <c r="E11" t="s">
        <v>101</v>
      </c>
      <c r="F11" t="s">
        <v>124</v>
      </c>
      <c r="G11" t="s">
        <v>125</v>
      </c>
      <c r="H11" t="s">
        <v>87</v>
      </c>
      <c r="I11" s="17">
        <v>3</v>
      </c>
      <c r="J11" s="16">
        <v>0.2</v>
      </c>
      <c r="K11" t="s">
        <v>112</v>
      </c>
      <c r="L11" t="s">
        <v>126</v>
      </c>
      <c r="M11" s="17">
        <v>1</v>
      </c>
    </row>
    <row r="12" spans="1:13">
      <c r="A12" t="s">
        <v>127</v>
      </c>
      <c r="B12" s="15">
        <v>45695</v>
      </c>
      <c r="C12" s="15">
        <v>45699</v>
      </c>
      <c r="D12" t="s">
        <v>128</v>
      </c>
      <c r="E12" t="s">
        <v>106</v>
      </c>
      <c r="F12" t="s">
        <v>115</v>
      </c>
      <c r="G12" t="s">
        <v>94</v>
      </c>
      <c r="H12" t="s">
        <v>87</v>
      </c>
      <c r="I12" s="17">
        <v>2</v>
      </c>
      <c r="J12" s="16">
        <v>0.1</v>
      </c>
      <c r="K12" t="s">
        <v>112</v>
      </c>
      <c r="L12" t="s">
        <v>89</v>
      </c>
      <c r="M12" s="17">
        <v>5</v>
      </c>
    </row>
    <row r="13" spans="1:13">
      <c r="A13" t="s">
        <v>129</v>
      </c>
      <c r="B13" s="15">
        <v>46006</v>
      </c>
      <c r="C13" s="15">
        <v>46014</v>
      </c>
      <c r="D13" t="s">
        <v>130</v>
      </c>
      <c r="E13" t="s">
        <v>111</v>
      </c>
      <c r="F13" t="s">
        <v>118</v>
      </c>
      <c r="G13" t="s">
        <v>86</v>
      </c>
      <c r="H13" t="s">
        <v>103</v>
      </c>
      <c r="I13" s="17">
        <v>5</v>
      </c>
      <c r="J13" s="16">
        <v>0.1</v>
      </c>
      <c r="K13" t="s">
        <v>88</v>
      </c>
      <c r="L13" t="s">
        <v>89</v>
      </c>
      <c r="M13" s="17">
        <v>5</v>
      </c>
    </row>
    <row r="14" spans="1:13">
      <c r="A14" t="s">
        <v>131</v>
      </c>
      <c r="B14" s="15">
        <v>45775</v>
      </c>
      <c r="C14" s="15">
        <v>45779</v>
      </c>
      <c r="D14" t="s">
        <v>132</v>
      </c>
      <c r="E14" t="s">
        <v>84</v>
      </c>
      <c r="F14" t="s">
        <v>118</v>
      </c>
      <c r="G14" t="s">
        <v>94</v>
      </c>
      <c r="H14" t="s">
        <v>86</v>
      </c>
      <c r="I14" s="17">
        <v>5</v>
      </c>
      <c r="J14" s="16">
        <v>0.15</v>
      </c>
      <c r="K14" t="s">
        <v>133</v>
      </c>
      <c r="L14" t="s">
        <v>89</v>
      </c>
      <c r="M14" s="17">
        <v>5</v>
      </c>
    </row>
    <row r="15" spans="1:13">
      <c r="A15" t="s">
        <v>134</v>
      </c>
      <c r="B15" s="15">
        <v>45873</v>
      </c>
      <c r="C15" s="15">
        <v>45879</v>
      </c>
      <c r="D15" t="s">
        <v>135</v>
      </c>
      <c r="E15" t="s">
        <v>92</v>
      </c>
      <c r="F15" t="s">
        <v>85</v>
      </c>
      <c r="G15" t="s">
        <v>86</v>
      </c>
      <c r="H15" t="s">
        <v>86</v>
      </c>
      <c r="I15" s="17">
        <v>4</v>
      </c>
      <c r="J15" s="16">
        <v>0.1</v>
      </c>
      <c r="K15" t="s">
        <v>136</v>
      </c>
      <c r="L15" t="s">
        <v>89</v>
      </c>
      <c r="M15" s="17">
        <v>4</v>
      </c>
    </row>
    <row r="16" spans="1:13">
      <c r="A16" t="s">
        <v>137</v>
      </c>
      <c r="B16" s="15">
        <v>45739</v>
      </c>
      <c r="C16" s="15">
        <v>45741</v>
      </c>
      <c r="D16" t="s">
        <v>105</v>
      </c>
      <c r="E16" t="s">
        <v>98</v>
      </c>
      <c r="F16" t="s">
        <v>138</v>
      </c>
      <c r="G16" t="s">
        <v>108</v>
      </c>
      <c r="H16" t="s">
        <v>87</v>
      </c>
      <c r="I16" s="17">
        <v>3</v>
      </c>
      <c r="J16" s="16">
        <v>0.15</v>
      </c>
      <c r="K16" t="s">
        <v>88</v>
      </c>
      <c r="L16" t="s">
        <v>89</v>
      </c>
      <c r="M16" s="17">
        <v>5</v>
      </c>
    </row>
    <row r="17" spans="1:13">
      <c r="A17" t="s">
        <v>139</v>
      </c>
      <c r="B17" s="15">
        <v>45783</v>
      </c>
      <c r="C17" s="15">
        <v>45789</v>
      </c>
      <c r="D17" t="s">
        <v>128</v>
      </c>
      <c r="E17" t="s">
        <v>101</v>
      </c>
      <c r="F17" t="s">
        <v>121</v>
      </c>
      <c r="G17" t="s">
        <v>125</v>
      </c>
      <c r="H17" t="s">
        <v>86</v>
      </c>
      <c r="I17" s="17">
        <v>5</v>
      </c>
      <c r="J17" s="16">
        <v>0</v>
      </c>
      <c r="K17" t="s">
        <v>140</v>
      </c>
      <c r="L17" t="s">
        <v>89</v>
      </c>
      <c r="M17" s="17">
        <v>4</v>
      </c>
    </row>
    <row r="18" spans="1:13">
      <c r="A18" t="s">
        <v>141</v>
      </c>
      <c r="B18" s="15">
        <v>45980</v>
      </c>
      <c r="C18" s="15">
        <v>45986</v>
      </c>
      <c r="D18" t="s">
        <v>114</v>
      </c>
      <c r="E18" t="s">
        <v>106</v>
      </c>
      <c r="F18" t="s">
        <v>102</v>
      </c>
      <c r="G18" t="s">
        <v>94</v>
      </c>
      <c r="H18" t="s">
        <v>86</v>
      </c>
      <c r="I18" s="17">
        <v>5</v>
      </c>
      <c r="J18" s="16">
        <v>0.05</v>
      </c>
      <c r="K18" t="s">
        <v>95</v>
      </c>
      <c r="L18" t="s">
        <v>89</v>
      </c>
      <c r="M18" s="17">
        <v>4</v>
      </c>
    </row>
    <row r="19" spans="1:13">
      <c r="A19" t="s">
        <v>142</v>
      </c>
      <c r="B19" s="15">
        <v>45905</v>
      </c>
      <c r="C19" s="15">
        <v>45909</v>
      </c>
      <c r="D19" t="s">
        <v>132</v>
      </c>
      <c r="E19" t="s">
        <v>111</v>
      </c>
      <c r="F19" t="s">
        <v>107</v>
      </c>
      <c r="G19" t="s">
        <v>108</v>
      </c>
      <c r="H19" t="s">
        <v>103</v>
      </c>
      <c r="I19" s="17">
        <v>1</v>
      </c>
      <c r="J19" s="16">
        <v>0.15</v>
      </c>
      <c r="K19" t="s">
        <v>116</v>
      </c>
      <c r="L19" t="s">
        <v>89</v>
      </c>
      <c r="M19" s="17">
        <v>5</v>
      </c>
    </row>
    <row r="20" spans="1:13">
      <c r="A20" t="s">
        <v>143</v>
      </c>
      <c r="B20" s="15">
        <v>45959</v>
      </c>
      <c r="C20" s="15">
        <v>45964</v>
      </c>
      <c r="D20" t="s">
        <v>100</v>
      </c>
      <c r="E20" t="s">
        <v>84</v>
      </c>
      <c r="F20" t="s">
        <v>138</v>
      </c>
      <c r="G20" t="s">
        <v>94</v>
      </c>
      <c r="H20" t="s">
        <v>87</v>
      </c>
      <c r="I20" s="17">
        <v>2</v>
      </c>
      <c r="J20" s="16">
        <v>0</v>
      </c>
      <c r="K20" t="s">
        <v>136</v>
      </c>
      <c r="L20" t="s">
        <v>89</v>
      </c>
      <c r="M20" s="17">
        <v>3</v>
      </c>
    </row>
    <row r="21" spans="1:13">
      <c r="A21" t="s">
        <v>144</v>
      </c>
      <c r="B21" s="15">
        <v>46013</v>
      </c>
      <c r="C21" s="15">
        <v>46014</v>
      </c>
      <c r="E21" t="s">
        <v>92</v>
      </c>
      <c r="F21" t="s">
        <v>115</v>
      </c>
      <c r="G21" t="s">
        <v>125</v>
      </c>
      <c r="H21" t="s">
        <v>86</v>
      </c>
      <c r="I21" s="17">
        <v>2</v>
      </c>
      <c r="J21" s="16">
        <v>0.15</v>
      </c>
      <c r="K21" t="s">
        <v>112</v>
      </c>
      <c r="L21" t="s">
        <v>126</v>
      </c>
      <c r="M21" s="17">
        <v>1</v>
      </c>
    </row>
    <row r="22" spans="1:13">
      <c r="A22" t="s">
        <v>145</v>
      </c>
      <c r="B22" s="15">
        <v>45714</v>
      </c>
      <c r="C22" s="15">
        <v>45720</v>
      </c>
      <c r="D22" t="s">
        <v>146</v>
      </c>
      <c r="E22" t="s">
        <v>98</v>
      </c>
      <c r="F22" t="s">
        <v>147</v>
      </c>
      <c r="G22" t="s">
        <v>108</v>
      </c>
      <c r="H22" t="s">
        <v>103</v>
      </c>
      <c r="I22" s="17">
        <v>1</v>
      </c>
      <c r="J22" s="16">
        <v>0.1</v>
      </c>
      <c r="K22" t="s">
        <v>116</v>
      </c>
      <c r="L22" t="s">
        <v>89</v>
      </c>
      <c r="M22" s="17">
        <v>4</v>
      </c>
    </row>
    <row r="23" spans="1:13">
      <c r="A23" t="s">
        <v>148</v>
      </c>
      <c r="B23" s="15">
        <v>45783</v>
      </c>
      <c r="C23" s="15">
        <v>45784</v>
      </c>
      <c r="D23" t="s">
        <v>91</v>
      </c>
      <c r="E23" t="s">
        <v>101</v>
      </c>
      <c r="F23" t="s">
        <v>149</v>
      </c>
      <c r="G23" t="s">
        <v>86</v>
      </c>
      <c r="H23" t="s">
        <v>86</v>
      </c>
      <c r="I23" s="17">
        <v>5</v>
      </c>
      <c r="J23" s="16">
        <v>0.1</v>
      </c>
      <c r="K23" t="s">
        <v>116</v>
      </c>
      <c r="L23" t="s">
        <v>89</v>
      </c>
      <c r="M23" s="17">
        <v>3</v>
      </c>
    </row>
    <row r="24" spans="1:13">
      <c r="A24" t="s">
        <v>150</v>
      </c>
      <c r="B24" s="15">
        <v>45851</v>
      </c>
      <c r="C24" s="15">
        <v>45855</v>
      </c>
      <c r="D24" t="s">
        <v>97</v>
      </c>
      <c r="E24" t="s">
        <v>106</v>
      </c>
      <c r="F24" t="s">
        <v>118</v>
      </c>
      <c r="G24" t="s">
        <v>86</v>
      </c>
      <c r="H24" t="s">
        <v>87</v>
      </c>
      <c r="I24" s="17">
        <v>2</v>
      </c>
      <c r="J24" s="16">
        <v>0</v>
      </c>
      <c r="K24" t="s">
        <v>119</v>
      </c>
      <c r="L24" t="s">
        <v>89</v>
      </c>
      <c r="M24" s="17">
        <v>5</v>
      </c>
    </row>
    <row r="25" spans="1:13">
      <c r="A25" t="s">
        <v>151</v>
      </c>
      <c r="B25" s="15">
        <v>45828</v>
      </c>
      <c r="C25" s="15">
        <v>45831</v>
      </c>
      <c r="D25" t="s">
        <v>135</v>
      </c>
      <c r="E25" t="s">
        <v>111</v>
      </c>
      <c r="F25" t="s">
        <v>115</v>
      </c>
      <c r="G25" t="s">
        <v>86</v>
      </c>
      <c r="H25" t="s">
        <v>86</v>
      </c>
      <c r="I25" s="17">
        <v>1</v>
      </c>
      <c r="J25" s="16">
        <v>0</v>
      </c>
      <c r="K25" t="s">
        <v>95</v>
      </c>
      <c r="L25" t="s">
        <v>89</v>
      </c>
      <c r="M25" s="17">
        <v>5</v>
      </c>
    </row>
    <row r="26" spans="1:13">
      <c r="A26" t="s">
        <v>152</v>
      </c>
      <c r="B26" s="15">
        <v>45702</v>
      </c>
      <c r="C26" s="15">
        <v>45710</v>
      </c>
      <c r="D26" t="s">
        <v>105</v>
      </c>
      <c r="E26" t="s">
        <v>84</v>
      </c>
      <c r="F26" t="s">
        <v>147</v>
      </c>
      <c r="G26" t="s">
        <v>94</v>
      </c>
      <c r="H26" t="s">
        <v>86</v>
      </c>
      <c r="I26" s="17">
        <v>1</v>
      </c>
      <c r="J26" s="16">
        <v>0.15</v>
      </c>
      <c r="K26" t="s">
        <v>133</v>
      </c>
      <c r="L26" t="s">
        <v>89</v>
      </c>
      <c r="M26" s="17">
        <v>4</v>
      </c>
    </row>
    <row r="27" spans="1:13">
      <c r="A27" t="s">
        <v>153</v>
      </c>
      <c r="B27" s="15">
        <v>45802</v>
      </c>
      <c r="C27" s="15">
        <v>45808</v>
      </c>
      <c r="D27" t="s">
        <v>83</v>
      </c>
      <c r="E27" t="s">
        <v>92</v>
      </c>
      <c r="F27" t="s">
        <v>154</v>
      </c>
      <c r="G27" t="s">
        <v>86</v>
      </c>
      <c r="H27" t="s">
        <v>87</v>
      </c>
      <c r="I27" s="17">
        <v>4</v>
      </c>
      <c r="J27" s="16">
        <v>0.2</v>
      </c>
      <c r="K27" t="s">
        <v>119</v>
      </c>
      <c r="L27" t="s">
        <v>89</v>
      </c>
      <c r="M27" s="17">
        <v>5</v>
      </c>
    </row>
    <row r="28" spans="1:13">
      <c r="A28" t="s">
        <v>155</v>
      </c>
      <c r="B28" s="15">
        <v>46010</v>
      </c>
      <c r="C28" s="15">
        <v>46012</v>
      </c>
      <c r="D28" t="s">
        <v>114</v>
      </c>
      <c r="E28" t="s">
        <v>98</v>
      </c>
      <c r="F28" t="s">
        <v>118</v>
      </c>
      <c r="G28" t="s">
        <v>86</v>
      </c>
      <c r="H28" t="s">
        <v>87</v>
      </c>
      <c r="I28" s="17">
        <v>4</v>
      </c>
      <c r="J28" s="16">
        <v>0.15</v>
      </c>
      <c r="K28" t="s">
        <v>140</v>
      </c>
      <c r="L28" t="s">
        <v>89</v>
      </c>
      <c r="M28" s="17">
        <v>3</v>
      </c>
    </row>
    <row r="29" spans="1:13">
      <c r="A29" t="s">
        <v>156</v>
      </c>
      <c r="B29" s="15">
        <v>45947</v>
      </c>
      <c r="C29" s="15">
        <v>45952</v>
      </c>
      <c r="D29" t="s">
        <v>157</v>
      </c>
      <c r="E29" t="s">
        <v>101</v>
      </c>
      <c r="F29" t="s">
        <v>149</v>
      </c>
      <c r="G29" t="s">
        <v>94</v>
      </c>
      <c r="H29" t="s">
        <v>103</v>
      </c>
      <c r="I29" s="17">
        <v>1</v>
      </c>
      <c r="J29" s="16">
        <v>0</v>
      </c>
      <c r="K29" t="s">
        <v>136</v>
      </c>
      <c r="L29" t="s">
        <v>89</v>
      </c>
      <c r="M29" s="17">
        <v>5</v>
      </c>
    </row>
    <row r="30" spans="1:13">
      <c r="A30" t="s">
        <v>158</v>
      </c>
      <c r="B30" s="15">
        <v>45845</v>
      </c>
      <c r="C30" s="15">
        <v>45849</v>
      </c>
      <c r="D30" t="s">
        <v>100</v>
      </c>
      <c r="E30" t="s">
        <v>106</v>
      </c>
      <c r="F30" t="s">
        <v>93</v>
      </c>
      <c r="G30" t="s">
        <v>125</v>
      </c>
      <c r="H30" t="s">
        <v>86</v>
      </c>
      <c r="I30" s="17">
        <v>2</v>
      </c>
      <c r="J30" s="16">
        <v>0.2</v>
      </c>
      <c r="K30" t="s">
        <v>119</v>
      </c>
      <c r="L30" t="s">
        <v>89</v>
      </c>
      <c r="M30" s="17">
        <v>4</v>
      </c>
    </row>
    <row r="31" spans="1:13">
      <c r="A31" t="s">
        <v>159</v>
      </c>
      <c r="B31" s="15">
        <v>45754</v>
      </c>
      <c r="C31" s="15">
        <v>45761</v>
      </c>
      <c r="D31" t="s">
        <v>105</v>
      </c>
      <c r="E31" t="s">
        <v>111</v>
      </c>
      <c r="F31" t="s">
        <v>149</v>
      </c>
      <c r="G31" t="s">
        <v>86</v>
      </c>
      <c r="H31" t="s">
        <v>103</v>
      </c>
      <c r="I31" s="17">
        <v>5</v>
      </c>
      <c r="J31" s="16">
        <v>0</v>
      </c>
      <c r="K31" t="s">
        <v>133</v>
      </c>
      <c r="L31" t="s">
        <v>89</v>
      </c>
      <c r="M31" s="17">
        <v>5</v>
      </c>
    </row>
    <row r="32" spans="1:13">
      <c r="A32" t="s">
        <v>160</v>
      </c>
      <c r="B32" s="15">
        <v>45974</v>
      </c>
      <c r="C32" s="15">
        <v>45982</v>
      </c>
      <c r="D32" t="s">
        <v>146</v>
      </c>
      <c r="E32" t="s">
        <v>84</v>
      </c>
      <c r="F32" t="s">
        <v>118</v>
      </c>
      <c r="G32" t="s">
        <v>108</v>
      </c>
      <c r="H32" t="s">
        <v>103</v>
      </c>
      <c r="I32" s="17">
        <v>4</v>
      </c>
      <c r="J32" s="16">
        <v>0.2</v>
      </c>
      <c r="K32" t="s">
        <v>133</v>
      </c>
      <c r="L32" t="s">
        <v>89</v>
      </c>
      <c r="M32" s="17">
        <v>4</v>
      </c>
    </row>
    <row r="33" spans="1:13">
      <c r="A33" t="s">
        <v>161</v>
      </c>
      <c r="B33" s="15">
        <v>45899</v>
      </c>
      <c r="C33" s="15">
        <v>45905</v>
      </c>
      <c r="D33" t="s">
        <v>130</v>
      </c>
      <c r="E33" t="s">
        <v>92</v>
      </c>
      <c r="F33" t="s">
        <v>149</v>
      </c>
      <c r="G33" t="s">
        <v>108</v>
      </c>
      <c r="H33" t="s">
        <v>87</v>
      </c>
      <c r="I33" s="17">
        <v>5</v>
      </c>
      <c r="J33" s="16">
        <v>0</v>
      </c>
      <c r="K33" t="s">
        <v>133</v>
      </c>
      <c r="L33" t="s">
        <v>89</v>
      </c>
      <c r="M33" s="17">
        <v>5</v>
      </c>
    </row>
    <row r="34" spans="1:13">
      <c r="A34" t="s">
        <v>162</v>
      </c>
      <c r="B34" s="15">
        <v>45750</v>
      </c>
      <c r="C34" s="15">
        <v>45755</v>
      </c>
      <c r="D34" t="s">
        <v>132</v>
      </c>
      <c r="E34" t="s">
        <v>98</v>
      </c>
      <c r="F34" t="s">
        <v>121</v>
      </c>
      <c r="G34" t="s">
        <v>108</v>
      </c>
      <c r="H34" t="s">
        <v>87</v>
      </c>
      <c r="I34" s="17">
        <v>4</v>
      </c>
      <c r="J34" s="16">
        <v>0.15</v>
      </c>
      <c r="K34" t="s">
        <v>88</v>
      </c>
      <c r="L34" t="s">
        <v>89</v>
      </c>
      <c r="M34" s="17">
        <v>4</v>
      </c>
    </row>
    <row r="35" spans="1:13">
      <c r="A35" t="s">
        <v>163</v>
      </c>
      <c r="B35" s="15">
        <v>45909</v>
      </c>
      <c r="C35" s="15">
        <v>45912</v>
      </c>
      <c r="D35" t="s">
        <v>164</v>
      </c>
      <c r="E35" t="s">
        <v>101</v>
      </c>
      <c r="F35" t="s">
        <v>115</v>
      </c>
      <c r="G35" t="s">
        <v>86</v>
      </c>
      <c r="H35" t="s">
        <v>86</v>
      </c>
      <c r="I35" s="17">
        <v>5</v>
      </c>
      <c r="J35" s="16">
        <v>0.05</v>
      </c>
      <c r="K35" t="s">
        <v>136</v>
      </c>
      <c r="L35" t="s">
        <v>89</v>
      </c>
      <c r="M35" s="17">
        <v>3</v>
      </c>
    </row>
    <row r="36" spans="1:13">
      <c r="A36" t="s">
        <v>165</v>
      </c>
      <c r="B36" s="15">
        <v>45902</v>
      </c>
      <c r="C36" s="15">
        <v>45906</v>
      </c>
      <c r="D36" t="s">
        <v>166</v>
      </c>
      <c r="E36" t="s">
        <v>106</v>
      </c>
      <c r="F36" t="s">
        <v>85</v>
      </c>
      <c r="G36" t="s">
        <v>94</v>
      </c>
      <c r="H36" t="s">
        <v>86</v>
      </c>
      <c r="I36" s="17">
        <v>5</v>
      </c>
      <c r="J36" s="16">
        <v>0.1</v>
      </c>
      <c r="K36" t="s">
        <v>119</v>
      </c>
      <c r="L36" t="s">
        <v>89</v>
      </c>
      <c r="M36" s="17">
        <v>4</v>
      </c>
    </row>
    <row r="37" spans="1:13">
      <c r="A37" t="s">
        <v>167</v>
      </c>
      <c r="B37" s="15">
        <v>45784</v>
      </c>
      <c r="C37" s="15">
        <v>45787</v>
      </c>
      <c r="D37" t="s">
        <v>83</v>
      </c>
      <c r="E37" t="s">
        <v>111</v>
      </c>
      <c r="F37" t="s">
        <v>107</v>
      </c>
      <c r="G37" t="s">
        <v>108</v>
      </c>
      <c r="H37" t="s">
        <v>86</v>
      </c>
      <c r="I37" s="17">
        <v>1</v>
      </c>
      <c r="J37" s="16">
        <v>0.1</v>
      </c>
      <c r="K37" t="s">
        <v>119</v>
      </c>
      <c r="L37" t="s">
        <v>89</v>
      </c>
      <c r="M37" s="17">
        <v>3</v>
      </c>
    </row>
    <row r="38" spans="1:13">
      <c r="A38" t="s">
        <v>168</v>
      </c>
      <c r="B38" s="15">
        <v>45858</v>
      </c>
      <c r="C38" s="15">
        <v>45864</v>
      </c>
      <c r="D38" t="s">
        <v>130</v>
      </c>
      <c r="E38" t="s">
        <v>84</v>
      </c>
      <c r="F38" t="s">
        <v>138</v>
      </c>
      <c r="G38" t="s">
        <v>108</v>
      </c>
      <c r="H38" t="s">
        <v>86</v>
      </c>
      <c r="I38" s="17">
        <v>1</v>
      </c>
      <c r="J38" s="16">
        <v>0</v>
      </c>
      <c r="K38" t="s">
        <v>112</v>
      </c>
      <c r="L38" t="s">
        <v>89</v>
      </c>
      <c r="M38" s="17">
        <v>5</v>
      </c>
    </row>
    <row r="39" spans="1:13">
      <c r="A39" t="s">
        <v>169</v>
      </c>
      <c r="B39" s="15">
        <v>45908</v>
      </c>
      <c r="C39" s="15">
        <v>45915</v>
      </c>
      <c r="D39" t="s">
        <v>157</v>
      </c>
      <c r="E39" t="s">
        <v>92</v>
      </c>
      <c r="F39" t="s">
        <v>149</v>
      </c>
      <c r="G39" t="s">
        <v>108</v>
      </c>
      <c r="H39" t="s">
        <v>87</v>
      </c>
      <c r="I39" s="17">
        <v>5</v>
      </c>
      <c r="J39" s="16">
        <v>0</v>
      </c>
      <c r="K39" t="s">
        <v>136</v>
      </c>
      <c r="L39" t="s">
        <v>126</v>
      </c>
      <c r="M39" s="17">
        <v>2</v>
      </c>
    </row>
    <row r="40" spans="1:13">
      <c r="A40" t="s">
        <v>170</v>
      </c>
      <c r="B40" s="15">
        <v>45921</v>
      </c>
      <c r="C40" s="15">
        <v>45924</v>
      </c>
      <c r="D40" t="s">
        <v>164</v>
      </c>
      <c r="E40" t="s">
        <v>98</v>
      </c>
      <c r="F40" t="s">
        <v>124</v>
      </c>
      <c r="G40" t="s">
        <v>125</v>
      </c>
      <c r="H40" t="s">
        <v>86</v>
      </c>
      <c r="I40" s="17">
        <v>1</v>
      </c>
      <c r="J40" s="16">
        <v>0.2</v>
      </c>
      <c r="K40" t="s">
        <v>133</v>
      </c>
      <c r="L40" t="s">
        <v>89</v>
      </c>
      <c r="M40" s="17">
        <v>3</v>
      </c>
    </row>
    <row r="41" spans="1:13">
      <c r="A41" t="s">
        <v>171</v>
      </c>
      <c r="B41" s="15">
        <v>45925</v>
      </c>
      <c r="C41" s="15">
        <v>45932</v>
      </c>
      <c r="D41" t="s">
        <v>123</v>
      </c>
      <c r="E41" t="s">
        <v>101</v>
      </c>
      <c r="F41" t="s">
        <v>121</v>
      </c>
      <c r="G41" t="s">
        <v>108</v>
      </c>
      <c r="H41" t="s">
        <v>87</v>
      </c>
      <c r="I41" s="17">
        <v>1</v>
      </c>
      <c r="J41" s="16">
        <v>0</v>
      </c>
      <c r="K41" t="s">
        <v>136</v>
      </c>
      <c r="L41" t="s">
        <v>89</v>
      </c>
      <c r="M41" s="17">
        <v>4</v>
      </c>
    </row>
    <row r="42" spans="1:13">
      <c r="A42" t="s">
        <v>172</v>
      </c>
      <c r="B42" s="15">
        <v>45981</v>
      </c>
      <c r="C42" s="15">
        <v>45987</v>
      </c>
      <c r="D42" t="s">
        <v>110</v>
      </c>
      <c r="E42" t="s">
        <v>106</v>
      </c>
      <c r="F42" t="s">
        <v>102</v>
      </c>
      <c r="G42" t="s">
        <v>94</v>
      </c>
      <c r="H42" t="s">
        <v>103</v>
      </c>
      <c r="I42" s="17">
        <v>5</v>
      </c>
      <c r="J42" s="16">
        <v>0.2</v>
      </c>
      <c r="K42" t="s">
        <v>95</v>
      </c>
      <c r="L42" t="s">
        <v>89</v>
      </c>
      <c r="M42" s="17">
        <v>3</v>
      </c>
    </row>
    <row r="43" spans="1:13">
      <c r="A43" t="s">
        <v>173</v>
      </c>
      <c r="B43" s="15">
        <v>45746</v>
      </c>
      <c r="C43" s="15">
        <v>45749</v>
      </c>
      <c r="D43" t="s">
        <v>130</v>
      </c>
      <c r="E43" t="s">
        <v>111</v>
      </c>
      <c r="F43" t="s">
        <v>93</v>
      </c>
      <c r="G43" t="s">
        <v>125</v>
      </c>
      <c r="H43" t="s">
        <v>87</v>
      </c>
      <c r="I43" s="17">
        <v>4</v>
      </c>
      <c r="J43" s="16">
        <v>0.05</v>
      </c>
      <c r="K43" t="s">
        <v>133</v>
      </c>
      <c r="L43" t="s">
        <v>89</v>
      </c>
      <c r="M43" s="17">
        <v>4</v>
      </c>
    </row>
    <row r="44" spans="1:13">
      <c r="A44" t="s">
        <v>174</v>
      </c>
      <c r="B44" s="15">
        <v>45844</v>
      </c>
      <c r="C44" s="15">
        <v>45850</v>
      </c>
      <c r="D44" t="s">
        <v>132</v>
      </c>
      <c r="E44" t="s">
        <v>84</v>
      </c>
      <c r="F44" t="s">
        <v>149</v>
      </c>
      <c r="G44" t="s">
        <v>94</v>
      </c>
      <c r="H44" t="s">
        <v>103</v>
      </c>
      <c r="I44" s="17">
        <v>5</v>
      </c>
      <c r="J44" s="16">
        <v>0.15</v>
      </c>
      <c r="K44" t="s">
        <v>116</v>
      </c>
      <c r="L44" t="s">
        <v>89</v>
      </c>
      <c r="M44" s="17">
        <v>5</v>
      </c>
    </row>
    <row r="45" spans="1:13">
      <c r="A45" t="s">
        <v>175</v>
      </c>
      <c r="B45" s="15">
        <v>45886</v>
      </c>
      <c r="C45" s="15">
        <v>45893</v>
      </c>
      <c r="D45" t="s">
        <v>135</v>
      </c>
      <c r="E45" t="s">
        <v>92</v>
      </c>
      <c r="F45" t="s">
        <v>102</v>
      </c>
      <c r="G45" t="s">
        <v>86</v>
      </c>
      <c r="H45" t="s">
        <v>87</v>
      </c>
      <c r="I45" s="17">
        <v>2</v>
      </c>
      <c r="J45" s="16">
        <v>0.1</v>
      </c>
      <c r="K45" t="s">
        <v>133</v>
      </c>
      <c r="L45" t="s">
        <v>89</v>
      </c>
      <c r="M45" s="17">
        <v>3</v>
      </c>
    </row>
    <row r="46" spans="1:13">
      <c r="A46" t="s">
        <v>176</v>
      </c>
      <c r="B46" s="15">
        <v>45810</v>
      </c>
      <c r="C46" s="15">
        <v>45814</v>
      </c>
      <c r="D46" t="s">
        <v>123</v>
      </c>
      <c r="E46" t="s">
        <v>98</v>
      </c>
      <c r="F46" t="s">
        <v>138</v>
      </c>
      <c r="G46" t="s">
        <v>94</v>
      </c>
      <c r="H46" t="s">
        <v>103</v>
      </c>
      <c r="I46" s="17">
        <v>5</v>
      </c>
      <c r="J46" s="16">
        <v>0.2</v>
      </c>
      <c r="K46" t="s">
        <v>116</v>
      </c>
      <c r="L46" t="s">
        <v>89</v>
      </c>
      <c r="M46" s="17">
        <v>4</v>
      </c>
    </row>
    <row r="47" spans="1:13">
      <c r="A47" t="s">
        <v>177</v>
      </c>
      <c r="B47" s="15">
        <v>45796</v>
      </c>
      <c r="C47" s="15">
        <v>45797</v>
      </c>
      <c r="D47" t="s">
        <v>83</v>
      </c>
      <c r="E47" t="s">
        <v>101</v>
      </c>
      <c r="F47" t="s">
        <v>107</v>
      </c>
      <c r="G47" t="s">
        <v>94</v>
      </c>
      <c r="H47" t="s">
        <v>103</v>
      </c>
      <c r="I47" s="17">
        <v>4</v>
      </c>
      <c r="J47" s="16">
        <v>0</v>
      </c>
      <c r="K47" t="s">
        <v>119</v>
      </c>
      <c r="L47" t="s">
        <v>89</v>
      </c>
      <c r="M47" s="17">
        <v>5</v>
      </c>
    </row>
    <row r="48" spans="1:13">
      <c r="A48" t="s">
        <v>178</v>
      </c>
      <c r="B48" s="15">
        <v>45816</v>
      </c>
      <c r="C48" s="15">
        <v>45824</v>
      </c>
      <c r="D48" t="s">
        <v>114</v>
      </c>
      <c r="E48" t="s">
        <v>106</v>
      </c>
      <c r="F48" t="s">
        <v>138</v>
      </c>
      <c r="G48" t="s">
        <v>94</v>
      </c>
      <c r="H48" t="s">
        <v>103</v>
      </c>
      <c r="I48" s="17">
        <v>2</v>
      </c>
      <c r="J48" s="16">
        <v>0.05</v>
      </c>
      <c r="K48" t="s">
        <v>112</v>
      </c>
      <c r="L48" t="s">
        <v>89</v>
      </c>
      <c r="M48" s="17">
        <v>4</v>
      </c>
    </row>
    <row r="49" spans="1:13">
      <c r="A49" t="s">
        <v>179</v>
      </c>
      <c r="B49" s="15">
        <v>45881</v>
      </c>
      <c r="C49" s="15">
        <v>45882</v>
      </c>
      <c r="D49" t="s">
        <v>157</v>
      </c>
      <c r="E49" t="s">
        <v>111</v>
      </c>
      <c r="F49" t="s">
        <v>147</v>
      </c>
      <c r="G49" t="s">
        <v>86</v>
      </c>
      <c r="H49" t="s">
        <v>86</v>
      </c>
      <c r="I49" s="17">
        <v>1</v>
      </c>
      <c r="J49" s="16">
        <v>0.15</v>
      </c>
      <c r="K49" t="s">
        <v>116</v>
      </c>
      <c r="L49" t="s">
        <v>89</v>
      </c>
      <c r="M49" s="17">
        <v>5</v>
      </c>
    </row>
    <row r="50" spans="1:13">
      <c r="A50" t="s">
        <v>180</v>
      </c>
      <c r="B50" s="15">
        <v>45817</v>
      </c>
      <c r="C50" s="15">
        <v>45825</v>
      </c>
      <c r="D50" t="s">
        <v>100</v>
      </c>
      <c r="E50" t="s">
        <v>84</v>
      </c>
      <c r="F50" t="s">
        <v>121</v>
      </c>
      <c r="G50" t="s">
        <v>125</v>
      </c>
      <c r="H50" t="s">
        <v>86</v>
      </c>
      <c r="I50" s="17">
        <v>2</v>
      </c>
      <c r="J50" s="16">
        <v>0</v>
      </c>
      <c r="K50" t="s">
        <v>95</v>
      </c>
      <c r="L50" t="s">
        <v>89</v>
      </c>
      <c r="M50" s="17">
        <v>5</v>
      </c>
    </row>
    <row r="51" spans="1:13">
      <c r="A51" t="s">
        <v>181</v>
      </c>
      <c r="B51" s="15">
        <v>45852</v>
      </c>
      <c r="C51" s="15">
        <v>45860</v>
      </c>
      <c r="D51" t="s">
        <v>105</v>
      </c>
      <c r="E51" t="s">
        <v>92</v>
      </c>
      <c r="F51" t="s">
        <v>121</v>
      </c>
      <c r="G51" t="s">
        <v>108</v>
      </c>
      <c r="H51" t="s">
        <v>86</v>
      </c>
      <c r="I51" s="17">
        <v>2</v>
      </c>
      <c r="J51" s="16">
        <v>0</v>
      </c>
      <c r="K51" t="s">
        <v>140</v>
      </c>
      <c r="L51" t="s">
        <v>89</v>
      </c>
      <c r="M51" s="17">
        <v>3</v>
      </c>
    </row>
    <row r="52" spans="1:13">
      <c r="A52" t="s">
        <v>182</v>
      </c>
      <c r="B52" s="15">
        <v>45675</v>
      </c>
      <c r="C52" s="15">
        <v>45678</v>
      </c>
      <c r="D52" t="s">
        <v>146</v>
      </c>
      <c r="E52" t="s">
        <v>98</v>
      </c>
      <c r="F52" t="s">
        <v>107</v>
      </c>
      <c r="G52" t="s">
        <v>108</v>
      </c>
      <c r="H52" t="s">
        <v>87</v>
      </c>
      <c r="I52" s="17">
        <v>2</v>
      </c>
      <c r="J52" s="16">
        <v>0.05</v>
      </c>
      <c r="K52" t="s">
        <v>116</v>
      </c>
      <c r="L52" t="s">
        <v>89</v>
      </c>
      <c r="M52" s="17">
        <v>5</v>
      </c>
    </row>
    <row r="53" spans="1:13">
      <c r="A53" t="s">
        <v>183</v>
      </c>
      <c r="B53" s="15">
        <v>45679</v>
      </c>
      <c r="C53" s="15">
        <v>45685</v>
      </c>
      <c r="D53" t="s">
        <v>91</v>
      </c>
      <c r="E53" t="s">
        <v>101</v>
      </c>
      <c r="F53" t="s">
        <v>118</v>
      </c>
      <c r="G53" t="s">
        <v>86</v>
      </c>
      <c r="H53" t="s">
        <v>86</v>
      </c>
      <c r="I53" s="17">
        <v>4</v>
      </c>
      <c r="J53" s="16">
        <v>0</v>
      </c>
      <c r="K53" t="s">
        <v>95</v>
      </c>
      <c r="L53" t="s">
        <v>89</v>
      </c>
      <c r="M53" s="17">
        <v>5</v>
      </c>
    </row>
    <row r="54" spans="1:13">
      <c r="A54" t="s">
        <v>184</v>
      </c>
      <c r="B54" s="15">
        <v>46012</v>
      </c>
      <c r="C54" s="15">
        <v>46014</v>
      </c>
      <c r="D54" t="s">
        <v>97</v>
      </c>
      <c r="E54" t="s">
        <v>106</v>
      </c>
      <c r="F54" t="s">
        <v>85</v>
      </c>
      <c r="G54" t="s">
        <v>94</v>
      </c>
      <c r="H54" t="s">
        <v>103</v>
      </c>
      <c r="I54" s="17">
        <v>1</v>
      </c>
      <c r="J54" s="16">
        <v>0.05</v>
      </c>
      <c r="K54" t="s">
        <v>136</v>
      </c>
      <c r="L54" t="s">
        <v>89</v>
      </c>
      <c r="M54" s="17">
        <v>5</v>
      </c>
    </row>
    <row r="55" spans="1:13">
      <c r="A55" t="s">
        <v>185</v>
      </c>
      <c r="B55" s="15">
        <v>45803</v>
      </c>
      <c r="C55" s="15">
        <v>45811</v>
      </c>
      <c r="D55" t="s">
        <v>100</v>
      </c>
      <c r="E55" t="s">
        <v>111</v>
      </c>
      <c r="F55" t="s">
        <v>121</v>
      </c>
      <c r="G55" t="s">
        <v>108</v>
      </c>
      <c r="H55" t="s">
        <v>87</v>
      </c>
      <c r="I55" s="17">
        <v>1</v>
      </c>
      <c r="J55" s="16">
        <v>0.05</v>
      </c>
      <c r="K55" t="s">
        <v>95</v>
      </c>
      <c r="L55" t="s">
        <v>89</v>
      </c>
      <c r="M55" s="17">
        <v>5</v>
      </c>
    </row>
    <row r="56" spans="1:13">
      <c r="A56" t="s">
        <v>186</v>
      </c>
      <c r="B56" s="15">
        <v>45981</v>
      </c>
      <c r="C56" s="15">
        <v>45986</v>
      </c>
      <c r="D56" t="s">
        <v>123</v>
      </c>
      <c r="E56" t="s">
        <v>84</v>
      </c>
      <c r="F56" t="s">
        <v>115</v>
      </c>
      <c r="G56" t="s">
        <v>125</v>
      </c>
      <c r="H56" t="s">
        <v>86</v>
      </c>
      <c r="I56" s="17">
        <v>2</v>
      </c>
      <c r="J56" s="16">
        <v>0.2</v>
      </c>
      <c r="K56" t="s">
        <v>95</v>
      </c>
      <c r="L56" t="s">
        <v>89</v>
      </c>
      <c r="M56" s="17">
        <v>5</v>
      </c>
    </row>
    <row r="57" spans="1:13">
      <c r="A57" t="s">
        <v>187</v>
      </c>
      <c r="B57" s="15">
        <v>46020</v>
      </c>
      <c r="C57" s="15">
        <v>46026</v>
      </c>
      <c r="D57" t="s">
        <v>83</v>
      </c>
      <c r="E57" t="s">
        <v>92</v>
      </c>
      <c r="F57" t="s">
        <v>107</v>
      </c>
      <c r="G57" t="s">
        <v>94</v>
      </c>
      <c r="H57" t="s">
        <v>86</v>
      </c>
      <c r="I57" s="17">
        <v>1</v>
      </c>
      <c r="J57" s="16">
        <v>0</v>
      </c>
      <c r="K57" t="s">
        <v>119</v>
      </c>
      <c r="L57" t="s">
        <v>89</v>
      </c>
      <c r="M57" s="17">
        <v>5</v>
      </c>
    </row>
    <row r="58" spans="1:13">
      <c r="A58" t="s">
        <v>188</v>
      </c>
      <c r="B58" s="15">
        <v>45919</v>
      </c>
      <c r="C58" s="15">
        <v>45924</v>
      </c>
      <c r="D58" t="s">
        <v>114</v>
      </c>
      <c r="E58" t="s">
        <v>98</v>
      </c>
      <c r="F58" t="s">
        <v>118</v>
      </c>
      <c r="G58" t="s">
        <v>125</v>
      </c>
      <c r="H58" t="s">
        <v>87</v>
      </c>
      <c r="I58" s="17">
        <v>5</v>
      </c>
      <c r="J58" s="16">
        <v>0.1</v>
      </c>
      <c r="K58" t="s">
        <v>88</v>
      </c>
      <c r="L58" t="s">
        <v>89</v>
      </c>
      <c r="M58" s="17">
        <v>3</v>
      </c>
    </row>
    <row r="59" spans="1:13">
      <c r="A59" t="s">
        <v>189</v>
      </c>
      <c r="B59" s="15">
        <v>45910</v>
      </c>
      <c r="C59" s="15">
        <v>45912</v>
      </c>
      <c r="D59" t="s">
        <v>157</v>
      </c>
      <c r="E59" t="s">
        <v>101</v>
      </c>
      <c r="F59" t="s">
        <v>190</v>
      </c>
      <c r="G59" t="s">
        <v>125</v>
      </c>
      <c r="H59" t="s">
        <v>86</v>
      </c>
      <c r="I59" s="17">
        <v>2</v>
      </c>
      <c r="J59" s="16">
        <v>0.1</v>
      </c>
      <c r="K59" t="s">
        <v>133</v>
      </c>
      <c r="L59" t="s">
        <v>89</v>
      </c>
      <c r="M59" s="17">
        <v>4</v>
      </c>
    </row>
    <row r="60" spans="1:13">
      <c r="A60" t="s">
        <v>191</v>
      </c>
      <c r="B60" s="15">
        <v>45718</v>
      </c>
      <c r="C60" s="15">
        <v>45724</v>
      </c>
      <c r="D60" t="s">
        <v>100</v>
      </c>
      <c r="E60" t="s">
        <v>106</v>
      </c>
      <c r="F60" t="s">
        <v>85</v>
      </c>
      <c r="G60" t="s">
        <v>125</v>
      </c>
      <c r="H60" t="s">
        <v>87</v>
      </c>
      <c r="I60" s="17">
        <v>5</v>
      </c>
      <c r="J60" s="16">
        <v>0.1</v>
      </c>
      <c r="K60" t="s">
        <v>116</v>
      </c>
      <c r="L60" t="s">
        <v>89</v>
      </c>
      <c r="M60" s="17">
        <v>4</v>
      </c>
    </row>
    <row r="61" spans="1:13">
      <c r="A61" t="s">
        <v>192</v>
      </c>
      <c r="B61" s="15">
        <v>46005</v>
      </c>
      <c r="C61" s="15">
        <v>46009</v>
      </c>
      <c r="D61" t="s">
        <v>123</v>
      </c>
      <c r="E61" t="s">
        <v>111</v>
      </c>
      <c r="F61" t="s">
        <v>85</v>
      </c>
      <c r="G61" t="s">
        <v>86</v>
      </c>
      <c r="H61" t="s">
        <v>87</v>
      </c>
      <c r="I61" s="17">
        <v>1</v>
      </c>
      <c r="J61" s="16">
        <v>0.2</v>
      </c>
      <c r="K61" t="s">
        <v>136</v>
      </c>
      <c r="L61" t="s">
        <v>89</v>
      </c>
      <c r="M61" s="17">
        <v>3</v>
      </c>
    </row>
    <row r="62" spans="1:13">
      <c r="A62" t="s">
        <v>193</v>
      </c>
      <c r="B62" s="15">
        <v>45931</v>
      </c>
      <c r="C62" s="15">
        <v>45932</v>
      </c>
      <c r="D62" t="s">
        <v>83</v>
      </c>
      <c r="E62" t="s">
        <v>84</v>
      </c>
      <c r="F62" t="s">
        <v>107</v>
      </c>
      <c r="G62" t="s">
        <v>125</v>
      </c>
      <c r="H62" t="s">
        <v>87</v>
      </c>
      <c r="I62" s="17">
        <v>3</v>
      </c>
      <c r="J62" s="16">
        <v>0.15</v>
      </c>
      <c r="K62" t="s">
        <v>116</v>
      </c>
      <c r="L62" t="s">
        <v>89</v>
      </c>
      <c r="M62" s="17">
        <v>5</v>
      </c>
    </row>
    <row r="63" spans="1:13">
      <c r="A63" t="s">
        <v>194</v>
      </c>
      <c r="B63" s="15">
        <v>45827</v>
      </c>
      <c r="C63" s="15">
        <v>45834</v>
      </c>
      <c r="D63" t="s">
        <v>91</v>
      </c>
      <c r="E63" t="s">
        <v>92</v>
      </c>
      <c r="F63" t="s">
        <v>138</v>
      </c>
      <c r="G63" t="s">
        <v>94</v>
      </c>
      <c r="H63" t="s">
        <v>86</v>
      </c>
      <c r="I63" s="17">
        <v>2</v>
      </c>
      <c r="J63" s="16">
        <v>0</v>
      </c>
      <c r="K63" t="s">
        <v>133</v>
      </c>
      <c r="L63" t="s">
        <v>89</v>
      </c>
      <c r="M63" s="17">
        <v>3</v>
      </c>
    </row>
    <row r="64" spans="1:13">
      <c r="A64" t="s">
        <v>195</v>
      </c>
      <c r="B64" s="15">
        <v>45673</v>
      </c>
      <c r="C64" s="15">
        <v>45679</v>
      </c>
      <c r="D64" t="s">
        <v>157</v>
      </c>
      <c r="E64" t="s">
        <v>98</v>
      </c>
      <c r="F64" t="s">
        <v>107</v>
      </c>
      <c r="G64" t="s">
        <v>86</v>
      </c>
      <c r="H64" t="s">
        <v>86</v>
      </c>
      <c r="I64" s="17">
        <v>1</v>
      </c>
      <c r="J64" s="16">
        <v>0.05</v>
      </c>
      <c r="K64" t="s">
        <v>136</v>
      </c>
      <c r="L64" t="s">
        <v>89</v>
      </c>
      <c r="M64" s="17">
        <v>5</v>
      </c>
    </row>
    <row r="65" spans="1:13">
      <c r="A65" t="s">
        <v>196</v>
      </c>
      <c r="B65" s="15">
        <v>45686</v>
      </c>
      <c r="C65" s="15">
        <v>45689</v>
      </c>
      <c r="D65" t="s">
        <v>100</v>
      </c>
      <c r="E65" t="s">
        <v>101</v>
      </c>
      <c r="F65" t="s">
        <v>149</v>
      </c>
      <c r="G65" t="s">
        <v>86</v>
      </c>
      <c r="H65" t="s">
        <v>86</v>
      </c>
      <c r="I65" s="17">
        <v>3</v>
      </c>
      <c r="J65" s="16">
        <v>0.15</v>
      </c>
      <c r="K65" t="s">
        <v>116</v>
      </c>
      <c r="L65" t="s">
        <v>89</v>
      </c>
      <c r="M65" s="17">
        <v>4</v>
      </c>
    </row>
    <row r="66" spans="1:13">
      <c r="A66" t="s">
        <v>197</v>
      </c>
      <c r="B66" s="15">
        <v>45966</v>
      </c>
      <c r="C66" s="15">
        <v>45971</v>
      </c>
      <c r="D66" t="s">
        <v>123</v>
      </c>
      <c r="E66" t="s">
        <v>106</v>
      </c>
      <c r="F66" t="s">
        <v>124</v>
      </c>
      <c r="G66" t="s">
        <v>108</v>
      </c>
      <c r="H66" t="s">
        <v>86</v>
      </c>
      <c r="I66" s="17">
        <v>1</v>
      </c>
      <c r="J66" s="16">
        <v>0</v>
      </c>
      <c r="K66" t="s">
        <v>136</v>
      </c>
      <c r="L66" t="s">
        <v>89</v>
      </c>
      <c r="M66" s="17">
        <v>5</v>
      </c>
    </row>
    <row r="67" spans="1:13">
      <c r="A67" t="s">
        <v>198</v>
      </c>
      <c r="B67" s="15">
        <v>45996</v>
      </c>
      <c r="C67" s="15">
        <v>45999</v>
      </c>
      <c r="D67" t="s">
        <v>128</v>
      </c>
      <c r="E67" t="s">
        <v>111</v>
      </c>
      <c r="F67" t="s">
        <v>147</v>
      </c>
      <c r="G67" t="s">
        <v>125</v>
      </c>
      <c r="H67" t="s">
        <v>86</v>
      </c>
      <c r="I67" s="17">
        <v>3</v>
      </c>
      <c r="J67" s="16">
        <v>0.05</v>
      </c>
      <c r="K67" t="s">
        <v>88</v>
      </c>
      <c r="L67" t="s">
        <v>89</v>
      </c>
      <c r="M67" s="17">
        <v>3</v>
      </c>
    </row>
    <row r="68" spans="1:13">
      <c r="A68" t="s">
        <v>199</v>
      </c>
      <c r="B68" s="15">
        <v>45749</v>
      </c>
      <c r="C68" s="15">
        <v>45756</v>
      </c>
      <c r="D68" t="s">
        <v>91</v>
      </c>
      <c r="E68" t="s">
        <v>84</v>
      </c>
      <c r="F68" t="s">
        <v>115</v>
      </c>
      <c r="G68" t="s">
        <v>94</v>
      </c>
      <c r="H68" t="s">
        <v>86</v>
      </c>
      <c r="I68" s="17">
        <v>1</v>
      </c>
      <c r="J68" s="16">
        <v>0.05</v>
      </c>
      <c r="K68" t="s">
        <v>140</v>
      </c>
      <c r="L68" t="s">
        <v>89</v>
      </c>
      <c r="M68" s="17">
        <v>5</v>
      </c>
    </row>
    <row r="69" spans="1:13">
      <c r="A69" t="s">
        <v>200</v>
      </c>
      <c r="B69" s="15">
        <v>45658</v>
      </c>
      <c r="C69" s="15">
        <v>45666</v>
      </c>
      <c r="D69" t="s">
        <v>132</v>
      </c>
      <c r="E69" t="s">
        <v>92</v>
      </c>
      <c r="F69" t="s">
        <v>154</v>
      </c>
      <c r="G69" t="s">
        <v>108</v>
      </c>
      <c r="H69" t="s">
        <v>103</v>
      </c>
      <c r="I69" s="17">
        <v>1</v>
      </c>
      <c r="J69" s="16">
        <v>0</v>
      </c>
      <c r="K69" t="s">
        <v>140</v>
      </c>
      <c r="L69" t="s">
        <v>89</v>
      </c>
      <c r="M69" s="17">
        <v>5</v>
      </c>
    </row>
    <row r="70" spans="1:13">
      <c r="A70" t="s">
        <v>201</v>
      </c>
      <c r="B70" s="15">
        <v>45762</v>
      </c>
      <c r="C70" s="15">
        <v>45764</v>
      </c>
      <c r="D70" t="s">
        <v>135</v>
      </c>
      <c r="E70" t="s">
        <v>98</v>
      </c>
      <c r="F70" t="s">
        <v>107</v>
      </c>
      <c r="G70" t="s">
        <v>94</v>
      </c>
      <c r="H70" t="s">
        <v>87</v>
      </c>
      <c r="I70" s="17">
        <v>1</v>
      </c>
      <c r="J70" s="16">
        <v>0.15</v>
      </c>
      <c r="K70" t="s">
        <v>140</v>
      </c>
      <c r="L70" t="s">
        <v>89</v>
      </c>
      <c r="M70" s="17">
        <v>5</v>
      </c>
    </row>
    <row r="71" spans="1:13">
      <c r="A71" t="s">
        <v>202</v>
      </c>
      <c r="B71" s="15">
        <v>45996</v>
      </c>
      <c r="C71" s="15">
        <v>45997</v>
      </c>
      <c r="D71" t="s">
        <v>105</v>
      </c>
      <c r="E71" t="s">
        <v>101</v>
      </c>
      <c r="F71" t="s">
        <v>121</v>
      </c>
      <c r="G71" t="s">
        <v>125</v>
      </c>
      <c r="H71" t="s">
        <v>103</v>
      </c>
      <c r="I71" s="17">
        <v>4</v>
      </c>
      <c r="J71" s="16">
        <v>0.1</v>
      </c>
      <c r="K71" t="s">
        <v>88</v>
      </c>
      <c r="L71" t="s">
        <v>89</v>
      </c>
      <c r="M71" s="17">
        <v>5</v>
      </c>
    </row>
    <row r="72" spans="1:13">
      <c r="A72" t="s">
        <v>203</v>
      </c>
      <c r="B72" s="15">
        <v>45746</v>
      </c>
      <c r="C72" s="15">
        <v>45753</v>
      </c>
      <c r="D72" t="s">
        <v>110</v>
      </c>
      <c r="E72" t="s">
        <v>106</v>
      </c>
      <c r="F72" t="s">
        <v>149</v>
      </c>
      <c r="G72" t="s">
        <v>94</v>
      </c>
      <c r="H72" t="s">
        <v>86</v>
      </c>
      <c r="I72" s="17">
        <v>5</v>
      </c>
      <c r="J72" s="16">
        <v>0</v>
      </c>
      <c r="K72" t="s">
        <v>95</v>
      </c>
      <c r="L72" t="s">
        <v>89</v>
      </c>
      <c r="M72" s="17">
        <v>4</v>
      </c>
    </row>
    <row r="73" spans="1:13">
      <c r="A73" t="s">
        <v>204</v>
      </c>
      <c r="B73" s="15">
        <v>45785</v>
      </c>
      <c r="C73" s="15">
        <v>45792</v>
      </c>
      <c r="D73" t="s">
        <v>130</v>
      </c>
      <c r="E73" t="s">
        <v>111</v>
      </c>
      <c r="F73" t="s">
        <v>124</v>
      </c>
      <c r="G73" t="s">
        <v>86</v>
      </c>
      <c r="H73" t="s">
        <v>103</v>
      </c>
      <c r="I73" s="17">
        <v>1</v>
      </c>
      <c r="J73" s="16">
        <v>0.1</v>
      </c>
      <c r="K73" t="s">
        <v>140</v>
      </c>
      <c r="L73" t="s">
        <v>89</v>
      </c>
      <c r="M73" s="17">
        <v>3</v>
      </c>
    </row>
    <row r="74" spans="1:13">
      <c r="A74" t="s">
        <v>205</v>
      </c>
      <c r="B74" s="15">
        <v>45829</v>
      </c>
      <c r="C74" s="15">
        <v>45833</v>
      </c>
      <c r="D74" t="s">
        <v>157</v>
      </c>
      <c r="E74" t="s">
        <v>84</v>
      </c>
      <c r="F74" t="s">
        <v>115</v>
      </c>
      <c r="G74" t="s">
        <v>108</v>
      </c>
      <c r="H74" t="s">
        <v>86</v>
      </c>
      <c r="I74" s="17">
        <v>1</v>
      </c>
      <c r="J74" s="16">
        <v>0</v>
      </c>
      <c r="K74" t="s">
        <v>133</v>
      </c>
      <c r="L74" t="s">
        <v>89</v>
      </c>
      <c r="M74" s="17">
        <v>3</v>
      </c>
    </row>
    <row r="75" spans="1:13">
      <c r="A75" t="s">
        <v>206</v>
      </c>
      <c r="B75" s="15">
        <v>45848</v>
      </c>
      <c r="C75" s="15">
        <v>45850</v>
      </c>
      <c r="D75" t="s">
        <v>164</v>
      </c>
      <c r="E75" t="s">
        <v>92</v>
      </c>
      <c r="F75" t="s">
        <v>124</v>
      </c>
      <c r="G75" t="s">
        <v>94</v>
      </c>
      <c r="H75" t="s">
        <v>103</v>
      </c>
      <c r="I75" s="17">
        <v>5</v>
      </c>
      <c r="J75" s="16">
        <v>0.1</v>
      </c>
      <c r="K75" t="s">
        <v>136</v>
      </c>
      <c r="L75" t="s">
        <v>89</v>
      </c>
      <c r="M75" s="17">
        <v>4</v>
      </c>
    </row>
    <row r="76" spans="1:13">
      <c r="A76" t="s">
        <v>207</v>
      </c>
      <c r="B76" s="15">
        <v>45721</v>
      </c>
      <c r="C76" s="15">
        <v>45728</v>
      </c>
      <c r="E76" t="s">
        <v>98</v>
      </c>
      <c r="F76" t="s">
        <v>85</v>
      </c>
      <c r="G76" t="s">
        <v>125</v>
      </c>
      <c r="H76" t="s">
        <v>103</v>
      </c>
      <c r="I76" s="17">
        <v>4</v>
      </c>
      <c r="J76" s="16">
        <v>0.1</v>
      </c>
      <c r="K76" t="s">
        <v>133</v>
      </c>
      <c r="L76" t="s">
        <v>126</v>
      </c>
      <c r="M76" s="17">
        <v>1</v>
      </c>
    </row>
    <row r="77" spans="1:13">
      <c r="A77" t="s">
        <v>208</v>
      </c>
      <c r="B77" s="15">
        <v>45969</v>
      </c>
      <c r="C77" s="15">
        <v>45974</v>
      </c>
      <c r="D77" t="s">
        <v>83</v>
      </c>
      <c r="E77" t="s">
        <v>101</v>
      </c>
      <c r="F77" t="s">
        <v>138</v>
      </c>
      <c r="G77" t="s">
        <v>125</v>
      </c>
      <c r="H77" t="s">
        <v>87</v>
      </c>
      <c r="I77" s="17">
        <v>4</v>
      </c>
      <c r="J77" s="16">
        <v>0</v>
      </c>
      <c r="K77" t="s">
        <v>136</v>
      </c>
      <c r="L77" t="s">
        <v>89</v>
      </c>
      <c r="M77" s="17">
        <v>5</v>
      </c>
    </row>
    <row r="78" spans="1:13">
      <c r="A78" t="s">
        <v>209</v>
      </c>
      <c r="B78" s="15">
        <v>45930</v>
      </c>
      <c r="C78" s="15">
        <v>45932</v>
      </c>
      <c r="D78" t="s">
        <v>114</v>
      </c>
      <c r="E78" t="s">
        <v>106</v>
      </c>
      <c r="F78" t="s">
        <v>149</v>
      </c>
      <c r="G78" t="s">
        <v>108</v>
      </c>
      <c r="H78" t="s">
        <v>86</v>
      </c>
      <c r="I78" s="17">
        <v>1</v>
      </c>
      <c r="J78" s="16">
        <v>0.1</v>
      </c>
      <c r="K78" t="s">
        <v>95</v>
      </c>
      <c r="L78" t="s">
        <v>89</v>
      </c>
      <c r="M78" s="17">
        <v>5</v>
      </c>
    </row>
    <row r="79" spans="1:13">
      <c r="A79" t="s">
        <v>210</v>
      </c>
      <c r="B79" s="15">
        <v>45766</v>
      </c>
      <c r="C79" s="15">
        <v>45773</v>
      </c>
      <c r="D79" t="s">
        <v>97</v>
      </c>
      <c r="E79" t="s">
        <v>111</v>
      </c>
      <c r="F79" t="s">
        <v>115</v>
      </c>
      <c r="G79" t="s">
        <v>125</v>
      </c>
      <c r="H79" t="s">
        <v>103</v>
      </c>
      <c r="I79" s="17">
        <v>3</v>
      </c>
      <c r="J79" s="16">
        <v>0.1</v>
      </c>
      <c r="K79" t="s">
        <v>95</v>
      </c>
      <c r="L79" t="s">
        <v>89</v>
      </c>
      <c r="M79" s="17">
        <v>3</v>
      </c>
    </row>
    <row r="80" spans="1:13">
      <c r="A80" t="s">
        <v>211</v>
      </c>
      <c r="B80" s="15">
        <v>45791</v>
      </c>
      <c r="C80" s="15">
        <v>45795</v>
      </c>
      <c r="D80" t="s">
        <v>212</v>
      </c>
      <c r="E80" t="s">
        <v>84</v>
      </c>
      <c r="F80" t="s">
        <v>107</v>
      </c>
      <c r="G80" t="s">
        <v>86</v>
      </c>
      <c r="H80" t="s">
        <v>86</v>
      </c>
      <c r="I80" s="17">
        <v>1</v>
      </c>
      <c r="J80" s="16">
        <v>0.1</v>
      </c>
      <c r="K80" t="s">
        <v>95</v>
      </c>
      <c r="L80" t="s">
        <v>126</v>
      </c>
      <c r="M80" s="17">
        <v>1</v>
      </c>
    </row>
    <row r="81" spans="1:13">
      <c r="A81" t="s">
        <v>213</v>
      </c>
      <c r="B81" s="15">
        <v>45814</v>
      </c>
      <c r="C81" s="15">
        <v>45816</v>
      </c>
      <c r="D81" t="s">
        <v>105</v>
      </c>
      <c r="E81" t="s">
        <v>92</v>
      </c>
      <c r="F81" t="s">
        <v>93</v>
      </c>
      <c r="G81" t="s">
        <v>86</v>
      </c>
      <c r="H81" t="s">
        <v>86</v>
      </c>
      <c r="I81" s="17">
        <v>5</v>
      </c>
      <c r="J81" s="16">
        <v>0.05</v>
      </c>
      <c r="K81" t="s">
        <v>112</v>
      </c>
      <c r="L81" t="s">
        <v>89</v>
      </c>
      <c r="M81" s="17">
        <v>3</v>
      </c>
    </row>
    <row r="82" spans="1:13">
      <c r="A82" t="s">
        <v>214</v>
      </c>
      <c r="B82" s="15">
        <v>45760</v>
      </c>
      <c r="C82" s="15">
        <v>45762</v>
      </c>
      <c r="D82" t="s">
        <v>128</v>
      </c>
      <c r="E82" t="s">
        <v>98</v>
      </c>
      <c r="F82" t="s">
        <v>121</v>
      </c>
      <c r="G82" t="s">
        <v>125</v>
      </c>
      <c r="H82" t="s">
        <v>87</v>
      </c>
      <c r="I82" s="17">
        <v>5</v>
      </c>
      <c r="J82" s="16">
        <v>0</v>
      </c>
      <c r="K82" t="s">
        <v>88</v>
      </c>
      <c r="L82" t="s">
        <v>89</v>
      </c>
      <c r="M82" s="17">
        <v>3</v>
      </c>
    </row>
    <row r="83" spans="1:13">
      <c r="A83" t="s">
        <v>215</v>
      </c>
      <c r="B83" s="15">
        <v>45798</v>
      </c>
      <c r="C83" s="15">
        <v>45801</v>
      </c>
      <c r="D83" t="s">
        <v>114</v>
      </c>
      <c r="E83" t="s">
        <v>101</v>
      </c>
      <c r="F83" t="s">
        <v>85</v>
      </c>
      <c r="G83" t="s">
        <v>108</v>
      </c>
      <c r="H83" t="s">
        <v>103</v>
      </c>
      <c r="I83" s="17">
        <v>3</v>
      </c>
      <c r="J83" s="16">
        <v>0</v>
      </c>
      <c r="K83" t="s">
        <v>136</v>
      </c>
      <c r="L83" t="s">
        <v>89</v>
      </c>
      <c r="M83" s="17">
        <v>4</v>
      </c>
    </row>
    <row r="84" spans="1:13">
      <c r="A84" t="s">
        <v>216</v>
      </c>
      <c r="B84" s="15">
        <v>45689</v>
      </c>
      <c r="C84" s="15">
        <v>45696</v>
      </c>
      <c r="D84" t="s">
        <v>157</v>
      </c>
      <c r="E84" t="s">
        <v>106</v>
      </c>
      <c r="F84" t="s">
        <v>124</v>
      </c>
      <c r="G84" t="s">
        <v>86</v>
      </c>
      <c r="H84" t="s">
        <v>87</v>
      </c>
      <c r="I84" s="17">
        <v>5</v>
      </c>
      <c r="J84" s="16">
        <v>0.15</v>
      </c>
      <c r="K84" t="s">
        <v>95</v>
      </c>
      <c r="L84" t="s">
        <v>89</v>
      </c>
      <c r="M84" s="17">
        <v>4</v>
      </c>
    </row>
    <row r="85" spans="1:13">
      <c r="A85" t="s">
        <v>217</v>
      </c>
      <c r="B85" s="15">
        <v>45925</v>
      </c>
      <c r="C85" s="15">
        <v>45932</v>
      </c>
      <c r="D85" t="s">
        <v>135</v>
      </c>
      <c r="E85" t="s">
        <v>111</v>
      </c>
      <c r="F85" t="s">
        <v>121</v>
      </c>
      <c r="G85" t="s">
        <v>94</v>
      </c>
      <c r="H85" t="s">
        <v>103</v>
      </c>
      <c r="I85" s="17">
        <v>4</v>
      </c>
      <c r="J85" s="16">
        <v>0</v>
      </c>
      <c r="K85" t="s">
        <v>133</v>
      </c>
      <c r="L85" t="s">
        <v>89</v>
      </c>
      <c r="M85" s="17">
        <v>4</v>
      </c>
    </row>
    <row r="86" spans="1:13">
      <c r="A86" t="s">
        <v>218</v>
      </c>
      <c r="B86" s="15">
        <v>45967</v>
      </c>
      <c r="C86" s="15">
        <v>45975</v>
      </c>
      <c r="D86" t="s">
        <v>166</v>
      </c>
      <c r="E86" t="s">
        <v>84</v>
      </c>
      <c r="F86" t="s">
        <v>138</v>
      </c>
      <c r="G86" t="s">
        <v>125</v>
      </c>
      <c r="H86" t="s">
        <v>103</v>
      </c>
      <c r="I86" s="17">
        <v>2</v>
      </c>
      <c r="J86" s="16">
        <v>0</v>
      </c>
      <c r="K86" t="s">
        <v>140</v>
      </c>
      <c r="L86" t="s">
        <v>89</v>
      </c>
      <c r="M86" s="17">
        <v>4</v>
      </c>
    </row>
    <row r="87" spans="1:13">
      <c r="A87" t="s">
        <v>219</v>
      </c>
      <c r="B87" s="15">
        <v>45772</v>
      </c>
      <c r="C87" s="15">
        <v>45777</v>
      </c>
      <c r="D87" t="s">
        <v>83</v>
      </c>
      <c r="E87" t="s">
        <v>92</v>
      </c>
      <c r="F87" t="s">
        <v>154</v>
      </c>
      <c r="G87" t="s">
        <v>108</v>
      </c>
      <c r="H87" t="s">
        <v>103</v>
      </c>
      <c r="I87" s="17">
        <v>2</v>
      </c>
      <c r="J87" s="16">
        <v>0.1</v>
      </c>
      <c r="K87" t="s">
        <v>119</v>
      </c>
      <c r="L87" t="s">
        <v>89</v>
      </c>
      <c r="M87" s="17">
        <v>5</v>
      </c>
    </row>
    <row r="88" spans="1:13">
      <c r="A88" t="s">
        <v>220</v>
      </c>
      <c r="B88" s="15">
        <v>45939</v>
      </c>
      <c r="C88" s="15">
        <v>45941</v>
      </c>
      <c r="D88" t="s">
        <v>114</v>
      </c>
      <c r="E88" t="s">
        <v>98</v>
      </c>
      <c r="F88" t="s">
        <v>85</v>
      </c>
      <c r="G88" t="s">
        <v>108</v>
      </c>
      <c r="H88" t="s">
        <v>86</v>
      </c>
      <c r="I88" s="17">
        <v>2</v>
      </c>
      <c r="J88" s="16">
        <v>0.15</v>
      </c>
      <c r="K88" t="s">
        <v>140</v>
      </c>
      <c r="L88" t="s">
        <v>89</v>
      </c>
      <c r="M88" s="17">
        <v>4</v>
      </c>
    </row>
    <row r="89" spans="1:13">
      <c r="A89" t="s">
        <v>221</v>
      </c>
      <c r="B89" s="15">
        <v>46019</v>
      </c>
      <c r="C89" s="15">
        <v>46025</v>
      </c>
      <c r="D89" t="s">
        <v>97</v>
      </c>
      <c r="E89" t="s">
        <v>101</v>
      </c>
      <c r="F89" t="s">
        <v>154</v>
      </c>
      <c r="G89" t="s">
        <v>108</v>
      </c>
      <c r="H89" t="s">
        <v>86</v>
      </c>
      <c r="I89" s="17">
        <v>3</v>
      </c>
      <c r="J89" s="16">
        <v>0</v>
      </c>
      <c r="K89" t="s">
        <v>88</v>
      </c>
      <c r="L89" t="s">
        <v>89</v>
      </c>
      <c r="M89" s="17">
        <v>3</v>
      </c>
    </row>
    <row r="90" spans="1:13">
      <c r="A90" t="s">
        <v>222</v>
      </c>
      <c r="B90" s="15">
        <v>45974</v>
      </c>
      <c r="C90" s="15">
        <v>45976</v>
      </c>
      <c r="D90" t="s">
        <v>212</v>
      </c>
      <c r="E90" t="s">
        <v>106</v>
      </c>
      <c r="F90" t="s">
        <v>124</v>
      </c>
      <c r="G90" t="s">
        <v>125</v>
      </c>
      <c r="H90" t="s">
        <v>103</v>
      </c>
      <c r="I90" s="17">
        <v>1</v>
      </c>
      <c r="J90" s="16">
        <v>0.1</v>
      </c>
      <c r="K90" t="s">
        <v>119</v>
      </c>
      <c r="L90" t="s">
        <v>89</v>
      </c>
      <c r="M90" s="17">
        <v>3</v>
      </c>
    </row>
    <row r="91" spans="1:13">
      <c r="A91" t="s">
        <v>223</v>
      </c>
      <c r="B91" s="15">
        <v>45715</v>
      </c>
      <c r="C91" s="15">
        <v>45720</v>
      </c>
      <c r="D91" t="s">
        <v>105</v>
      </c>
      <c r="E91" t="s">
        <v>111</v>
      </c>
      <c r="F91" t="s">
        <v>85</v>
      </c>
      <c r="G91" t="s">
        <v>94</v>
      </c>
      <c r="H91" t="s">
        <v>87</v>
      </c>
      <c r="I91" s="17">
        <v>4</v>
      </c>
      <c r="J91" s="16">
        <v>0</v>
      </c>
      <c r="K91" t="s">
        <v>140</v>
      </c>
      <c r="L91" t="s">
        <v>89</v>
      </c>
      <c r="M91" s="17">
        <v>4</v>
      </c>
    </row>
    <row r="92" spans="1:13">
      <c r="A92" t="s">
        <v>224</v>
      </c>
      <c r="B92" s="15">
        <v>45669</v>
      </c>
      <c r="C92" s="15">
        <v>45676</v>
      </c>
      <c r="D92" t="s">
        <v>83</v>
      </c>
      <c r="E92" t="s">
        <v>84</v>
      </c>
      <c r="F92" t="s">
        <v>147</v>
      </c>
      <c r="G92" t="s">
        <v>108</v>
      </c>
      <c r="H92" t="s">
        <v>87</v>
      </c>
      <c r="I92" s="17">
        <v>4</v>
      </c>
      <c r="J92" s="16">
        <v>0.1</v>
      </c>
      <c r="K92" t="s">
        <v>116</v>
      </c>
      <c r="L92" t="s">
        <v>89</v>
      </c>
      <c r="M92" s="17">
        <v>5</v>
      </c>
    </row>
    <row r="93" spans="1:13">
      <c r="A93" t="s">
        <v>225</v>
      </c>
      <c r="B93" s="15">
        <v>45715</v>
      </c>
      <c r="C93" s="15">
        <v>45717</v>
      </c>
      <c r="D93" t="s">
        <v>130</v>
      </c>
      <c r="E93" t="s">
        <v>92</v>
      </c>
      <c r="F93" t="s">
        <v>121</v>
      </c>
      <c r="G93" t="s">
        <v>125</v>
      </c>
      <c r="H93" t="s">
        <v>87</v>
      </c>
      <c r="I93" s="17">
        <v>4</v>
      </c>
      <c r="J93" s="16">
        <v>0.05</v>
      </c>
      <c r="K93" t="s">
        <v>116</v>
      </c>
      <c r="L93" t="s">
        <v>89</v>
      </c>
      <c r="M93" s="17">
        <v>5</v>
      </c>
    </row>
    <row r="94" spans="1:13">
      <c r="A94" t="s">
        <v>226</v>
      </c>
      <c r="B94" s="15">
        <v>45700</v>
      </c>
      <c r="C94" s="15">
        <v>45703</v>
      </c>
      <c r="D94" t="s">
        <v>132</v>
      </c>
      <c r="E94" t="s">
        <v>98</v>
      </c>
      <c r="F94" t="s">
        <v>85</v>
      </c>
      <c r="G94" t="s">
        <v>86</v>
      </c>
      <c r="H94" t="s">
        <v>103</v>
      </c>
      <c r="I94" s="17">
        <v>3</v>
      </c>
      <c r="J94" s="16">
        <v>0.1</v>
      </c>
      <c r="K94" t="s">
        <v>95</v>
      </c>
      <c r="L94" t="s">
        <v>89</v>
      </c>
      <c r="M94" s="17">
        <v>5</v>
      </c>
    </row>
    <row r="95" spans="1:13">
      <c r="A95" t="s">
        <v>227</v>
      </c>
      <c r="B95" s="15">
        <v>45878</v>
      </c>
      <c r="C95" s="15">
        <v>45886</v>
      </c>
      <c r="D95" t="s">
        <v>164</v>
      </c>
      <c r="E95" t="s">
        <v>101</v>
      </c>
      <c r="F95" t="s">
        <v>147</v>
      </c>
      <c r="G95" t="s">
        <v>125</v>
      </c>
      <c r="H95" t="s">
        <v>87</v>
      </c>
      <c r="I95" s="17">
        <v>2</v>
      </c>
      <c r="J95" s="16">
        <v>0</v>
      </c>
      <c r="K95" t="s">
        <v>140</v>
      </c>
      <c r="L95" t="s">
        <v>89</v>
      </c>
      <c r="M95" s="17">
        <v>3</v>
      </c>
    </row>
    <row r="96" spans="1:13">
      <c r="A96" t="s">
        <v>228</v>
      </c>
      <c r="B96" s="15">
        <v>45682</v>
      </c>
      <c r="C96" s="15">
        <v>45689</v>
      </c>
      <c r="D96" t="s">
        <v>166</v>
      </c>
      <c r="E96" t="s">
        <v>106</v>
      </c>
      <c r="F96" t="s">
        <v>85</v>
      </c>
      <c r="G96" t="s">
        <v>86</v>
      </c>
      <c r="H96" t="s">
        <v>87</v>
      </c>
      <c r="I96" s="17">
        <v>3</v>
      </c>
      <c r="J96" s="16">
        <v>0</v>
      </c>
      <c r="K96" t="s">
        <v>136</v>
      </c>
      <c r="L96" t="s">
        <v>89</v>
      </c>
      <c r="M96" s="17">
        <v>5</v>
      </c>
    </row>
    <row r="97" spans="1:13">
      <c r="A97" t="s">
        <v>229</v>
      </c>
      <c r="B97" s="15">
        <v>45921</v>
      </c>
      <c r="C97" s="15">
        <v>45925</v>
      </c>
      <c r="D97" t="s">
        <v>83</v>
      </c>
      <c r="E97" t="s">
        <v>111</v>
      </c>
      <c r="F97" t="s">
        <v>121</v>
      </c>
      <c r="G97" t="s">
        <v>108</v>
      </c>
      <c r="H97" t="s">
        <v>87</v>
      </c>
      <c r="I97" s="17">
        <v>1</v>
      </c>
      <c r="J97" s="16">
        <v>0</v>
      </c>
      <c r="K97" t="s">
        <v>119</v>
      </c>
      <c r="L97" t="s">
        <v>89</v>
      </c>
      <c r="M97" s="17">
        <v>5</v>
      </c>
    </row>
    <row r="98" spans="1:13">
      <c r="A98" t="s">
        <v>230</v>
      </c>
      <c r="B98" s="15">
        <v>45974</v>
      </c>
      <c r="C98" s="15">
        <v>45982</v>
      </c>
      <c r="D98" t="s">
        <v>130</v>
      </c>
      <c r="E98" t="s">
        <v>84</v>
      </c>
      <c r="F98" t="s">
        <v>115</v>
      </c>
      <c r="G98" t="s">
        <v>94</v>
      </c>
      <c r="H98" t="s">
        <v>103</v>
      </c>
      <c r="I98" s="17">
        <v>3</v>
      </c>
      <c r="J98" s="16">
        <v>0</v>
      </c>
      <c r="K98" t="s">
        <v>133</v>
      </c>
      <c r="L98" t="s">
        <v>89</v>
      </c>
      <c r="M98" s="17">
        <v>5</v>
      </c>
    </row>
    <row r="99" spans="1:13">
      <c r="A99" t="s">
        <v>231</v>
      </c>
      <c r="B99" s="15">
        <v>45988</v>
      </c>
      <c r="C99" s="15">
        <v>45993</v>
      </c>
      <c r="D99" t="s">
        <v>157</v>
      </c>
      <c r="E99" t="s">
        <v>92</v>
      </c>
      <c r="F99" t="s">
        <v>154</v>
      </c>
      <c r="G99" t="s">
        <v>125</v>
      </c>
      <c r="H99" t="s">
        <v>103</v>
      </c>
      <c r="I99" s="17">
        <v>4</v>
      </c>
      <c r="J99" s="16">
        <v>0</v>
      </c>
      <c r="K99" t="s">
        <v>112</v>
      </c>
      <c r="L99" t="s">
        <v>89</v>
      </c>
      <c r="M99" s="17">
        <v>3</v>
      </c>
    </row>
    <row r="100" spans="1:13">
      <c r="A100" t="s">
        <v>232</v>
      </c>
      <c r="B100" s="15">
        <v>45786</v>
      </c>
      <c r="C100" s="15">
        <v>45790</v>
      </c>
      <c r="D100" t="s">
        <v>212</v>
      </c>
      <c r="E100" t="s">
        <v>98</v>
      </c>
      <c r="F100" t="s">
        <v>102</v>
      </c>
      <c r="G100" t="s">
        <v>108</v>
      </c>
      <c r="H100" t="s">
        <v>86</v>
      </c>
      <c r="I100" s="17">
        <v>1</v>
      </c>
      <c r="J100" s="16">
        <v>0.15</v>
      </c>
      <c r="K100" t="s">
        <v>136</v>
      </c>
      <c r="L100" t="s">
        <v>89</v>
      </c>
      <c r="M100" s="17">
        <v>3</v>
      </c>
    </row>
    <row r="101" spans="1:13">
      <c r="A101" t="s">
        <v>233</v>
      </c>
      <c r="B101" s="15">
        <v>45899</v>
      </c>
      <c r="C101" s="15">
        <v>45906</v>
      </c>
      <c r="D101" t="s">
        <v>123</v>
      </c>
      <c r="E101" t="s">
        <v>101</v>
      </c>
      <c r="F101" t="s">
        <v>85</v>
      </c>
      <c r="G101" t="s">
        <v>86</v>
      </c>
      <c r="H101" t="s">
        <v>103</v>
      </c>
      <c r="I101" s="17">
        <v>5</v>
      </c>
      <c r="J101" s="16">
        <v>0</v>
      </c>
      <c r="K101" t="s">
        <v>133</v>
      </c>
      <c r="L101" t="s">
        <v>89</v>
      </c>
      <c r="M101" s="17">
        <v>4</v>
      </c>
    </row>
    <row r="102" spans="1:13">
      <c r="A102" t="s">
        <v>234</v>
      </c>
      <c r="B102" s="15">
        <v>45820</v>
      </c>
      <c r="C102" s="15">
        <v>45826</v>
      </c>
      <c r="D102" t="s">
        <v>110</v>
      </c>
      <c r="E102" t="s">
        <v>106</v>
      </c>
      <c r="F102" t="s">
        <v>124</v>
      </c>
      <c r="G102" t="s">
        <v>94</v>
      </c>
      <c r="H102" t="s">
        <v>86</v>
      </c>
      <c r="I102" s="17">
        <v>4</v>
      </c>
      <c r="J102" s="16">
        <v>0.1</v>
      </c>
      <c r="K102" t="s">
        <v>112</v>
      </c>
      <c r="L102" t="s">
        <v>89</v>
      </c>
      <c r="M102" s="17">
        <v>4</v>
      </c>
    </row>
    <row r="103" spans="1:13">
      <c r="A103" t="s">
        <v>235</v>
      </c>
      <c r="B103" s="15">
        <v>45978</v>
      </c>
      <c r="C103" s="15">
        <v>45981</v>
      </c>
      <c r="D103" t="s">
        <v>91</v>
      </c>
      <c r="E103" t="s">
        <v>111</v>
      </c>
      <c r="F103" t="s">
        <v>154</v>
      </c>
      <c r="G103" t="s">
        <v>108</v>
      </c>
      <c r="H103" t="s">
        <v>87</v>
      </c>
      <c r="I103" s="17">
        <v>3</v>
      </c>
      <c r="J103" s="16">
        <v>0.05</v>
      </c>
      <c r="K103" t="s">
        <v>88</v>
      </c>
      <c r="L103" t="s">
        <v>89</v>
      </c>
      <c r="M103" s="17">
        <v>3</v>
      </c>
    </row>
    <row r="104" spans="1:13">
      <c r="A104" t="s">
        <v>236</v>
      </c>
      <c r="B104" s="15">
        <v>45904</v>
      </c>
      <c r="C104" s="15">
        <v>45912</v>
      </c>
      <c r="D104" t="s">
        <v>157</v>
      </c>
      <c r="E104" t="s">
        <v>84</v>
      </c>
      <c r="F104" t="s">
        <v>102</v>
      </c>
      <c r="G104" t="s">
        <v>86</v>
      </c>
      <c r="H104" t="s">
        <v>87</v>
      </c>
      <c r="I104" s="17">
        <v>4</v>
      </c>
      <c r="J104" s="16">
        <v>0.15</v>
      </c>
      <c r="K104" t="s">
        <v>112</v>
      </c>
      <c r="L104" t="s">
        <v>89</v>
      </c>
      <c r="M104" s="17">
        <v>5</v>
      </c>
    </row>
    <row r="105" spans="1:13">
      <c r="A105" t="s">
        <v>237</v>
      </c>
      <c r="B105" s="15">
        <v>45796</v>
      </c>
      <c r="C105" s="15">
        <v>45802</v>
      </c>
      <c r="D105" t="s">
        <v>135</v>
      </c>
      <c r="E105" t="s">
        <v>92</v>
      </c>
      <c r="F105" t="s">
        <v>107</v>
      </c>
      <c r="G105" t="s">
        <v>125</v>
      </c>
      <c r="H105" t="s">
        <v>103</v>
      </c>
      <c r="I105" s="17">
        <v>2</v>
      </c>
      <c r="J105" s="16">
        <v>0</v>
      </c>
      <c r="K105" t="s">
        <v>88</v>
      </c>
      <c r="L105" t="s">
        <v>89</v>
      </c>
      <c r="M105" s="17">
        <v>4</v>
      </c>
    </row>
    <row r="106" spans="1:13">
      <c r="A106" t="s">
        <v>238</v>
      </c>
      <c r="B106" s="15">
        <v>45814</v>
      </c>
      <c r="C106" s="15">
        <v>45818</v>
      </c>
      <c r="D106" t="s">
        <v>166</v>
      </c>
      <c r="E106" t="s">
        <v>98</v>
      </c>
      <c r="F106" t="s">
        <v>121</v>
      </c>
      <c r="G106" t="s">
        <v>125</v>
      </c>
      <c r="H106" t="s">
        <v>103</v>
      </c>
      <c r="I106" s="17">
        <v>5</v>
      </c>
      <c r="J106" s="16">
        <v>0.05</v>
      </c>
      <c r="K106" t="s">
        <v>95</v>
      </c>
      <c r="L106" t="s">
        <v>89</v>
      </c>
      <c r="M106" s="17">
        <v>3</v>
      </c>
    </row>
    <row r="107" spans="1:13">
      <c r="A107" t="s">
        <v>239</v>
      </c>
      <c r="B107" s="15">
        <v>45784</v>
      </c>
      <c r="C107" s="15">
        <v>45788</v>
      </c>
      <c r="D107" t="s">
        <v>83</v>
      </c>
      <c r="E107" t="s">
        <v>101</v>
      </c>
      <c r="F107" t="s">
        <v>93</v>
      </c>
      <c r="G107" t="s">
        <v>108</v>
      </c>
      <c r="H107" t="s">
        <v>87</v>
      </c>
      <c r="I107" s="17">
        <v>1</v>
      </c>
      <c r="J107" s="16">
        <v>0</v>
      </c>
      <c r="K107" t="s">
        <v>133</v>
      </c>
      <c r="L107" t="s">
        <v>89</v>
      </c>
      <c r="M107" s="17">
        <v>5</v>
      </c>
    </row>
    <row r="108" spans="1:13">
      <c r="A108" t="s">
        <v>240</v>
      </c>
      <c r="B108" s="15">
        <v>45998</v>
      </c>
      <c r="C108" s="15">
        <v>46005</v>
      </c>
      <c r="D108" t="s">
        <v>114</v>
      </c>
      <c r="E108" t="s">
        <v>106</v>
      </c>
      <c r="F108" t="s">
        <v>93</v>
      </c>
      <c r="G108" t="s">
        <v>125</v>
      </c>
      <c r="H108" t="s">
        <v>87</v>
      </c>
      <c r="I108" s="17">
        <v>5</v>
      </c>
      <c r="J108" s="16">
        <v>0.15</v>
      </c>
      <c r="K108" t="s">
        <v>136</v>
      </c>
      <c r="L108" t="s">
        <v>89</v>
      </c>
      <c r="M108" s="17">
        <v>3</v>
      </c>
    </row>
    <row r="109" spans="1:13">
      <c r="A109" t="s">
        <v>241</v>
      </c>
      <c r="B109" s="15">
        <v>45894</v>
      </c>
      <c r="C109" s="15">
        <v>45898</v>
      </c>
      <c r="D109" t="s">
        <v>157</v>
      </c>
      <c r="E109" t="s">
        <v>111</v>
      </c>
      <c r="F109" t="s">
        <v>102</v>
      </c>
      <c r="G109" t="s">
        <v>86</v>
      </c>
      <c r="H109" t="s">
        <v>103</v>
      </c>
      <c r="I109" s="17">
        <v>1</v>
      </c>
      <c r="J109" s="16">
        <v>0</v>
      </c>
      <c r="K109" t="s">
        <v>133</v>
      </c>
      <c r="L109" t="s">
        <v>89</v>
      </c>
      <c r="M109" s="17">
        <v>4</v>
      </c>
    </row>
    <row r="110" spans="1:13">
      <c r="A110" t="s">
        <v>242</v>
      </c>
      <c r="B110" s="15">
        <v>46011</v>
      </c>
      <c r="C110" s="15">
        <v>46016</v>
      </c>
      <c r="D110" t="s">
        <v>100</v>
      </c>
      <c r="E110" t="s">
        <v>84</v>
      </c>
      <c r="F110" t="s">
        <v>102</v>
      </c>
      <c r="G110" t="s">
        <v>94</v>
      </c>
      <c r="H110" t="s">
        <v>103</v>
      </c>
      <c r="I110" s="17">
        <v>5</v>
      </c>
      <c r="J110" s="16">
        <v>0.2</v>
      </c>
      <c r="K110" t="s">
        <v>116</v>
      </c>
      <c r="L110" t="s">
        <v>89</v>
      </c>
      <c r="M110" s="17">
        <v>4</v>
      </c>
    </row>
    <row r="111" spans="1:13">
      <c r="A111" t="s">
        <v>243</v>
      </c>
      <c r="B111" s="15">
        <v>45922</v>
      </c>
      <c r="C111" s="15">
        <v>45925</v>
      </c>
      <c r="D111" t="s">
        <v>105</v>
      </c>
      <c r="E111" t="s">
        <v>92</v>
      </c>
      <c r="F111" t="s">
        <v>149</v>
      </c>
      <c r="G111" t="s">
        <v>94</v>
      </c>
      <c r="H111" t="s">
        <v>103</v>
      </c>
      <c r="I111" s="17">
        <v>5</v>
      </c>
      <c r="J111" s="16">
        <v>0</v>
      </c>
      <c r="K111" t="s">
        <v>119</v>
      </c>
      <c r="L111" t="s">
        <v>126</v>
      </c>
      <c r="M111" s="17">
        <v>3</v>
      </c>
    </row>
    <row r="112" spans="1:13">
      <c r="A112" t="s">
        <v>244</v>
      </c>
      <c r="B112" s="15">
        <v>45744</v>
      </c>
      <c r="C112" s="15">
        <v>45748</v>
      </c>
      <c r="D112" t="s">
        <v>110</v>
      </c>
      <c r="E112" t="s">
        <v>98</v>
      </c>
      <c r="F112" t="s">
        <v>147</v>
      </c>
      <c r="G112" t="s">
        <v>86</v>
      </c>
      <c r="H112" t="s">
        <v>87</v>
      </c>
      <c r="I112" s="17">
        <v>5</v>
      </c>
      <c r="J112" s="16">
        <v>0.15</v>
      </c>
      <c r="K112" t="s">
        <v>95</v>
      </c>
      <c r="L112" t="s">
        <v>89</v>
      </c>
      <c r="M112" s="17">
        <v>4</v>
      </c>
    </row>
    <row r="113" spans="1:13">
      <c r="A113" t="s">
        <v>245</v>
      </c>
      <c r="B113" s="15">
        <v>45977</v>
      </c>
      <c r="C113" s="15">
        <v>45979</v>
      </c>
      <c r="D113" t="s">
        <v>114</v>
      </c>
      <c r="E113" t="s">
        <v>101</v>
      </c>
      <c r="F113" t="s">
        <v>124</v>
      </c>
      <c r="G113" t="s">
        <v>94</v>
      </c>
      <c r="H113" t="s">
        <v>87</v>
      </c>
      <c r="I113" s="17">
        <v>2</v>
      </c>
      <c r="J113" s="16">
        <v>0.1</v>
      </c>
      <c r="K113" t="s">
        <v>119</v>
      </c>
      <c r="L113" t="s">
        <v>126</v>
      </c>
      <c r="M113" s="17">
        <v>3</v>
      </c>
    </row>
    <row r="114" spans="1:13">
      <c r="A114" t="s">
        <v>246</v>
      </c>
      <c r="B114" s="15">
        <v>46020</v>
      </c>
      <c r="C114" s="15">
        <v>46023</v>
      </c>
      <c r="D114" t="s">
        <v>157</v>
      </c>
      <c r="E114" t="s">
        <v>106</v>
      </c>
      <c r="F114" t="s">
        <v>102</v>
      </c>
      <c r="G114" t="s">
        <v>94</v>
      </c>
      <c r="H114" t="s">
        <v>86</v>
      </c>
      <c r="I114" s="17">
        <v>1</v>
      </c>
      <c r="J114" s="16">
        <v>0.05</v>
      </c>
      <c r="K114" t="s">
        <v>88</v>
      </c>
      <c r="L114" t="s">
        <v>89</v>
      </c>
      <c r="M114" s="17">
        <v>3</v>
      </c>
    </row>
    <row r="115" spans="1:13">
      <c r="A115" t="s">
        <v>247</v>
      </c>
      <c r="B115" s="15">
        <v>45899</v>
      </c>
      <c r="C115" s="15">
        <v>45904</v>
      </c>
      <c r="D115" t="s">
        <v>212</v>
      </c>
      <c r="E115" t="s">
        <v>111</v>
      </c>
      <c r="F115" t="s">
        <v>107</v>
      </c>
      <c r="G115" t="s">
        <v>108</v>
      </c>
      <c r="H115" t="s">
        <v>86</v>
      </c>
      <c r="I115" s="17">
        <v>5</v>
      </c>
      <c r="J115" s="16">
        <v>0.1</v>
      </c>
      <c r="K115" t="s">
        <v>88</v>
      </c>
      <c r="L115" t="s">
        <v>89</v>
      </c>
      <c r="M115" s="17">
        <v>3</v>
      </c>
    </row>
    <row r="116" spans="1:13">
      <c r="A116" t="s">
        <v>248</v>
      </c>
      <c r="B116" s="15">
        <v>45747</v>
      </c>
      <c r="C116" s="15">
        <v>45753</v>
      </c>
      <c r="D116" t="s">
        <v>123</v>
      </c>
      <c r="E116" t="s">
        <v>84</v>
      </c>
      <c r="F116" t="s">
        <v>118</v>
      </c>
      <c r="G116" t="s">
        <v>125</v>
      </c>
      <c r="H116" t="s">
        <v>86</v>
      </c>
      <c r="I116" s="17">
        <v>2</v>
      </c>
      <c r="J116" s="16">
        <v>0.05</v>
      </c>
      <c r="K116" t="s">
        <v>136</v>
      </c>
      <c r="L116" t="s">
        <v>89</v>
      </c>
      <c r="M116" s="17">
        <v>3</v>
      </c>
    </row>
    <row r="117" spans="1:13">
      <c r="A117" t="s">
        <v>249</v>
      </c>
      <c r="B117" s="15">
        <v>45744</v>
      </c>
      <c r="C117" s="15">
        <v>45749</v>
      </c>
      <c r="D117" t="s">
        <v>83</v>
      </c>
      <c r="E117" t="s">
        <v>92</v>
      </c>
      <c r="F117" t="s">
        <v>121</v>
      </c>
      <c r="G117" t="s">
        <v>108</v>
      </c>
      <c r="H117" t="s">
        <v>87</v>
      </c>
      <c r="I117" s="17">
        <v>1</v>
      </c>
      <c r="J117" s="16">
        <v>0.15</v>
      </c>
      <c r="K117" t="s">
        <v>119</v>
      </c>
      <c r="L117" t="s">
        <v>89</v>
      </c>
      <c r="M117" s="17">
        <v>5</v>
      </c>
    </row>
    <row r="118" spans="1:13">
      <c r="A118" t="s">
        <v>250</v>
      </c>
      <c r="B118" s="15">
        <v>45747</v>
      </c>
      <c r="C118" s="15">
        <v>45750</v>
      </c>
      <c r="D118" t="s">
        <v>91</v>
      </c>
      <c r="E118" t="s">
        <v>98</v>
      </c>
      <c r="F118" t="s">
        <v>85</v>
      </c>
      <c r="G118" t="s">
        <v>94</v>
      </c>
      <c r="H118" t="s">
        <v>86</v>
      </c>
      <c r="I118" s="17">
        <v>1</v>
      </c>
      <c r="J118" s="16">
        <v>0</v>
      </c>
      <c r="K118" t="s">
        <v>133</v>
      </c>
      <c r="L118" t="s">
        <v>89</v>
      </c>
      <c r="M118" s="17">
        <v>5</v>
      </c>
    </row>
    <row r="119" spans="1:13">
      <c r="A119" t="s">
        <v>251</v>
      </c>
      <c r="B119" s="15">
        <v>45991</v>
      </c>
      <c r="C119" s="15">
        <v>45992</v>
      </c>
      <c r="D119" t="s">
        <v>157</v>
      </c>
      <c r="E119" t="s">
        <v>101</v>
      </c>
      <c r="F119" t="s">
        <v>118</v>
      </c>
      <c r="G119" t="s">
        <v>86</v>
      </c>
      <c r="H119" t="s">
        <v>103</v>
      </c>
      <c r="I119" s="17">
        <v>1</v>
      </c>
      <c r="J119" s="16">
        <v>0</v>
      </c>
      <c r="K119" t="s">
        <v>133</v>
      </c>
      <c r="L119" t="s">
        <v>89</v>
      </c>
      <c r="M119" s="17">
        <v>4</v>
      </c>
    </row>
    <row r="120" spans="1:13">
      <c r="A120" t="s">
        <v>252</v>
      </c>
      <c r="B120" s="15">
        <v>45948</v>
      </c>
      <c r="C120" s="15">
        <v>45949</v>
      </c>
      <c r="D120" t="s">
        <v>212</v>
      </c>
      <c r="E120" t="s">
        <v>106</v>
      </c>
      <c r="F120" t="s">
        <v>115</v>
      </c>
      <c r="G120" t="s">
        <v>125</v>
      </c>
      <c r="H120" t="s">
        <v>103</v>
      </c>
      <c r="I120" s="17">
        <v>2</v>
      </c>
      <c r="J120" s="16">
        <v>0</v>
      </c>
      <c r="K120" t="s">
        <v>95</v>
      </c>
      <c r="L120" t="s">
        <v>89</v>
      </c>
      <c r="M120" s="17">
        <v>3</v>
      </c>
    </row>
    <row r="121" spans="1:13">
      <c r="A121" t="s">
        <v>253</v>
      </c>
      <c r="B121" s="15">
        <v>45820</v>
      </c>
      <c r="C121" s="15">
        <v>45828</v>
      </c>
      <c r="D121" t="s">
        <v>123</v>
      </c>
      <c r="E121" t="s">
        <v>111</v>
      </c>
      <c r="F121" t="s">
        <v>147</v>
      </c>
      <c r="G121" t="s">
        <v>108</v>
      </c>
      <c r="H121" t="s">
        <v>86</v>
      </c>
      <c r="I121" s="17">
        <v>2</v>
      </c>
      <c r="J121" s="16">
        <v>0</v>
      </c>
      <c r="K121" t="s">
        <v>119</v>
      </c>
      <c r="L121" t="s">
        <v>89</v>
      </c>
      <c r="M121" s="17">
        <v>5</v>
      </c>
    </row>
    <row r="122" spans="1:13">
      <c r="A122" t="s">
        <v>254</v>
      </c>
      <c r="B122" s="15">
        <v>45802</v>
      </c>
      <c r="C122" s="15">
        <v>45809</v>
      </c>
      <c r="D122" t="s">
        <v>83</v>
      </c>
      <c r="E122" t="s">
        <v>84</v>
      </c>
      <c r="F122" t="s">
        <v>118</v>
      </c>
      <c r="G122" t="s">
        <v>125</v>
      </c>
      <c r="H122" t="s">
        <v>86</v>
      </c>
      <c r="I122" s="17">
        <v>5</v>
      </c>
      <c r="J122" s="16">
        <v>0.1</v>
      </c>
      <c r="K122" t="s">
        <v>95</v>
      </c>
      <c r="L122" t="s">
        <v>89</v>
      </c>
      <c r="M122" s="17">
        <v>3</v>
      </c>
    </row>
    <row r="123" spans="1:13">
      <c r="A123" t="s">
        <v>255</v>
      </c>
      <c r="B123" s="15">
        <v>45969</v>
      </c>
      <c r="C123" s="15">
        <v>45977</v>
      </c>
      <c r="E123" t="s">
        <v>92</v>
      </c>
      <c r="F123" t="s">
        <v>147</v>
      </c>
      <c r="G123" t="s">
        <v>94</v>
      </c>
      <c r="H123" t="s">
        <v>87</v>
      </c>
      <c r="I123" s="17">
        <v>4</v>
      </c>
      <c r="J123" s="16">
        <v>0</v>
      </c>
      <c r="K123" t="s">
        <v>136</v>
      </c>
      <c r="L123" t="s">
        <v>89</v>
      </c>
      <c r="M123" s="17">
        <v>5</v>
      </c>
    </row>
    <row r="124" spans="1:13">
      <c r="A124" t="s">
        <v>256</v>
      </c>
      <c r="B124" s="15">
        <v>45730</v>
      </c>
      <c r="C124" s="15">
        <v>45737</v>
      </c>
      <c r="D124" t="s">
        <v>132</v>
      </c>
      <c r="E124" t="s">
        <v>98</v>
      </c>
      <c r="F124" t="s">
        <v>124</v>
      </c>
      <c r="G124" t="s">
        <v>125</v>
      </c>
      <c r="H124" t="s">
        <v>87</v>
      </c>
      <c r="I124" s="17">
        <v>5</v>
      </c>
      <c r="J124" s="16">
        <v>0.1</v>
      </c>
      <c r="K124" t="s">
        <v>133</v>
      </c>
      <c r="L124" t="s">
        <v>126</v>
      </c>
      <c r="M124" s="17">
        <v>3</v>
      </c>
    </row>
    <row r="125" spans="1:13">
      <c r="A125" t="s">
        <v>257</v>
      </c>
      <c r="B125" s="15">
        <v>45744</v>
      </c>
      <c r="C125" s="15">
        <v>45750</v>
      </c>
      <c r="D125" t="s">
        <v>212</v>
      </c>
      <c r="E125" t="s">
        <v>101</v>
      </c>
      <c r="F125" t="s">
        <v>124</v>
      </c>
      <c r="G125" t="s">
        <v>94</v>
      </c>
      <c r="H125" t="s">
        <v>87</v>
      </c>
      <c r="I125" s="17">
        <v>5</v>
      </c>
      <c r="J125" s="16">
        <v>0.1</v>
      </c>
      <c r="K125" t="s">
        <v>136</v>
      </c>
      <c r="L125" t="s">
        <v>89</v>
      </c>
      <c r="M125" s="17">
        <v>3</v>
      </c>
    </row>
    <row r="126" spans="1:13">
      <c r="A126" t="s">
        <v>258</v>
      </c>
      <c r="B126" s="15">
        <v>45932</v>
      </c>
      <c r="C126" s="15">
        <v>45934</v>
      </c>
      <c r="D126" t="s">
        <v>123</v>
      </c>
      <c r="E126" t="s">
        <v>106</v>
      </c>
      <c r="F126" t="s">
        <v>102</v>
      </c>
      <c r="G126" t="s">
        <v>125</v>
      </c>
      <c r="H126" t="s">
        <v>86</v>
      </c>
      <c r="I126" s="17">
        <v>3</v>
      </c>
      <c r="J126" s="16">
        <v>0</v>
      </c>
      <c r="K126" t="s">
        <v>116</v>
      </c>
      <c r="L126" t="s">
        <v>89</v>
      </c>
      <c r="M126" s="17">
        <v>5</v>
      </c>
    </row>
    <row r="127" spans="1:13">
      <c r="A127" t="s">
        <v>259</v>
      </c>
      <c r="B127" s="15">
        <v>45774</v>
      </c>
      <c r="C127" s="15">
        <v>45782</v>
      </c>
      <c r="D127" t="s">
        <v>83</v>
      </c>
      <c r="E127" t="s">
        <v>111</v>
      </c>
      <c r="F127" t="s">
        <v>149</v>
      </c>
      <c r="G127" t="s">
        <v>94</v>
      </c>
      <c r="H127" t="s">
        <v>87</v>
      </c>
      <c r="I127" s="17">
        <v>2</v>
      </c>
      <c r="J127" s="16">
        <v>0.2</v>
      </c>
      <c r="K127" t="s">
        <v>116</v>
      </c>
      <c r="L127" t="s">
        <v>89</v>
      </c>
      <c r="M127" s="17">
        <v>5</v>
      </c>
    </row>
    <row r="128" spans="1:13">
      <c r="A128" t="s">
        <v>260</v>
      </c>
      <c r="B128" s="15">
        <v>45959</v>
      </c>
      <c r="C128" s="15">
        <v>45965</v>
      </c>
      <c r="D128" t="s">
        <v>130</v>
      </c>
      <c r="E128" t="s">
        <v>84</v>
      </c>
      <c r="F128" t="s">
        <v>85</v>
      </c>
      <c r="G128" t="s">
        <v>108</v>
      </c>
      <c r="H128" t="s">
        <v>87</v>
      </c>
      <c r="I128" s="17">
        <v>5</v>
      </c>
      <c r="J128" s="16">
        <v>0.15</v>
      </c>
      <c r="K128" t="s">
        <v>88</v>
      </c>
      <c r="L128" t="s">
        <v>89</v>
      </c>
      <c r="M128" s="17">
        <v>4</v>
      </c>
    </row>
    <row r="129" spans="1:13">
      <c r="A129" t="s">
        <v>261</v>
      </c>
      <c r="B129" s="15">
        <v>45974</v>
      </c>
      <c r="C129" s="15">
        <v>45981</v>
      </c>
      <c r="D129" t="s">
        <v>132</v>
      </c>
      <c r="E129" t="s">
        <v>92</v>
      </c>
      <c r="F129" t="s">
        <v>85</v>
      </c>
      <c r="G129" t="s">
        <v>94</v>
      </c>
      <c r="H129" t="s">
        <v>103</v>
      </c>
      <c r="I129" s="17">
        <v>3</v>
      </c>
      <c r="J129" s="16">
        <v>0</v>
      </c>
      <c r="K129" t="s">
        <v>136</v>
      </c>
      <c r="L129" t="s">
        <v>126</v>
      </c>
      <c r="M129" s="17">
        <v>2</v>
      </c>
    </row>
    <row r="130" spans="1:13">
      <c r="A130" t="s">
        <v>262</v>
      </c>
      <c r="B130" s="15">
        <v>45748</v>
      </c>
      <c r="C130" s="15">
        <v>45750</v>
      </c>
      <c r="D130" t="s">
        <v>164</v>
      </c>
      <c r="E130" t="s">
        <v>98</v>
      </c>
      <c r="F130" t="s">
        <v>85</v>
      </c>
      <c r="G130" t="s">
        <v>125</v>
      </c>
      <c r="H130" t="s">
        <v>103</v>
      </c>
      <c r="I130" s="17">
        <v>1</v>
      </c>
      <c r="J130" s="16">
        <v>0</v>
      </c>
      <c r="K130" t="s">
        <v>116</v>
      </c>
      <c r="L130" t="s">
        <v>89</v>
      </c>
      <c r="M130" s="17">
        <v>4</v>
      </c>
    </row>
    <row r="131" spans="1:13">
      <c r="A131" t="s">
        <v>263</v>
      </c>
      <c r="B131" s="15">
        <v>45907</v>
      </c>
      <c r="C131" s="15">
        <v>45911</v>
      </c>
      <c r="D131" t="s">
        <v>123</v>
      </c>
      <c r="E131" t="s">
        <v>101</v>
      </c>
      <c r="F131" t="s">
        <v>121</v>
      </c>
      <c r="G131" t="s">
        <v>108</v>
      </c>
      <c r="H131" t="s">
        <v>103</v>
      </c>
      <c r="I131" s="17">
        <v>3</v>
      </c>
      <c r="J131" s="16">
        <v>0.1</v>
      </c>
      <c r="K131" t="s">
        <v>136</v>
      </c>
      <c r="L131" t="s">
        <v>89</v>
      </c>
      <c r="M131" s="17">
        <v>4</v>
      </c>
    </row>
    <row r="132" spans="1:13">
      <c r="A132" t="s">
        <v>264</v>
      </c>
      <c r="B132" s="15">
        <v>45956</v>
      </c>
      <c r="C132" s="15">
        <v>45958</v>
      </c>
      <c r="D132" t="s">
        <v>128</v>
      </c>
      <c r="E132" t="s">
        <v>106</v>
      </c>
      <c r="F132" t="s">
        <v>107</v>
      </c>
      <c r="G132" t="s">
        <v>86</v>
      </c>
      <c r="H132" t="s">
        <v>87</v>
      </c>
      <c r="I132" s="17">
        <v>5</v>
      </c>
      <c r="J132" s="16">
        <v>0.2</v>
      </c>
      <c r="K132" t="s">
        <v>88</v>
      </c>
      <c r="L132" t="s">
        <v>89</v>
      </c>
      <c r="M132" s="17">
        <v>5</v>
      </c>
    </row>
    <row r="133" spans="1:13">
      <c r="A133" t="s">
        <v>265</v>
      </c>
      <c r="B133" s="15">
        <v>45707</v>
      </c>
      <c r="C133" s="15">
        <v>45713</v>
      </c>
      <c r="D133" t="s">
        <v>114</v>
      </c>
      <c r="E133" t="s">
        <v>111</v>
      </c>
      <c r="F133" t="s">
        <v>149</v>
      </c>
      <c r="G133" t="s">
        <v>86</v>
      </c>
      <c r="H133" t="s">
        <v>87</v>
      </c>
      <c r="I133" s="17">
        <v>5</v>
      </c>
      <c r="J133" s="16">
        <v>0.1</v>
      </c>
      <c r="K133" t="s">
        <v>95</v>
      </c>
      <c r="L133" t="s">
        <v>126</v>
      </c>
      <c r="M133" s="17">
        <v>2</v>
      </c>
    </row>
    <row r="134" spans="1:13">
      <c r="A134" t="s">
        <v>266</v>
      </c>
      <c r="B134" s="15">
        <v>45918</v>
      </c>
      <c r="C134" s="15">
        <v>45924</v>
      </c>
      <c r="D134" t="s">
        <v>157</v>
      </c>
      <c r="E134" t="s">
        <v>84</v>
      </c>
      <c r="F134" t="s">
        <v>85</v>
      </c>
      <c r="G134" t="s">
        <v>86</v>
      </c>
      <c r="H134" t="s">
        <v>87</v>
      </c>
      <c r="I134" s="17">
        <v>1</v>
      </c>
      <c r="J134" s="16">
        <v>0.1</v>
      </c>
      <c r="K134" t="s">
        <v>116</v>
      </c>
      <c r="L134" t="s">
        <v>89</v>
      </c>
      <c r="M134" s="17">
        <v>3</v>
      </c>
    </row>
    <row r="135" spans="1:13">
      <c r="A135" t="s">
        <v>267</v>
      </c>
      <c r="B135" s="15">
        <v>45791</v>
      </c>
      <c r="C135" s="15">
        <v>45799</v>
      </c>
      <c r="D135" t="s">
        <v>212</v>
      </c>
      <c r="E135" t="s">
        <v>92</v>
      </c>
      <c r="F135" t="s">
        <v>124</v>
      </c>
      <c r="G135" t="s">
        <v>125</v>
      </c>
      <c r="H135" t="s">
        <v>103</v>
      </c>
      <c r="I135" s="17">
        <v>2</v>
      </c>
      <c r="J135" s="16">
        <v>0.05</v>
      </c>
      <c r="K135" t="s">
        <v>116</v>
      </c>
      <c r="L135" t="s">
        <v>89</v>
      </c>
      <c r="M135" s="17">
        <v>3</v>
      </c>
    </row>
    <row r="136" spans="1:13">
      <c r="A136" t="s">
        <v>268</v>
      </c>
      <c r="B136" s="15">
        <v>45677</v>
      </c>
      <c r="C136" s="15">
        <v>45682</v>
      </c>
      <c r="D136" t="s">
        <v>123</v>
      </c>
      <c r="E136" t="s">
        <v>98</v>
      </c>
      <c r="F136" t="s">
        <v>138</v>
      </c>
      <c r="G136" t="s">
        <v>94</v>
      </c>
      <c r="H136" t="s">
        <v>103</v>
      </c>
      <c r="I136" s="17">
        <v>4</v>
      </c>
      <c r="J136" s="16">
        <v>0.05</v>
      </c>
      <c r="K136" t="s">
        <v>88</v>
      </c>
      <c r="L136" t="s">
        <v>89</v>
      </c>
      <c r="M136" s="17">
        <v>4</v>
      </c>
    </row>
    <row r="137" spans="1:13">
      <c r="A137" t="s">
        <v>269</v>
      </c>
      <c r="B137" s="15">
        <v>45935</v>
      </c>
      <c r="C137" s="15">
        <v>45939</v>
      </c>
      <c r="D137" t="s">
        <v>128</v>
      </c>
      <c r="E137" t="s">
        <v>101</v>
      </c>
      <c r="F137" t="s">
        <v>115</v>
      </c>
      <c r="G137" t="s">
        <v>108</v>
      </c>
      <c r="H137" t="s">
        <v>87</v>
      </c>
      <c r="I137" s="17">
        <v>1</v>
      </c>
      <c r="J137" s="16">
        <v>0</v>
      </c>
      <c r="K137" t="s">
        <v>136</v>
      </c>
      <c r="L137" t="s">
        <v>89</v>
      </c>
      <c r="M137" s="17">
        <v>4</v>
      </c>
    </row>
    <row r="138" spans="1:13">
      <c r="A138" t="s">
        <v>270</v>
      </c>
      <c r="B138" s="15">
        <v>45907</v>
      </c>
      <c r="C138" s="15">
        <v>45908</v>
      </c>
      <c r="D138" t="s">
        <v>130</v>
      </c>
      <c r="E138" t="s">
        <v>106</v>
      </c>
      <c r="F138" t="s">
        <v>121</v>
      </c>
      <c r="G138" t="s">
        <v>125</v>
      </c>
      <c r="H138" t="s">
        <v>87</v>
      </c>
      <c r="I138" s="17">
        <v>3</v>
      </c>
      <c r="J138" s="16">
        <v>0</v>
      </c>
      <c r="K138" t="s">
        <v>140</v>
      </c>
      <c r="L138" t="s">
        <v>89</v>
      </c>
      <c r="M138" s="17">
        <v>4</v>
      </c>
    </row>
    <row r="139" spans="1:13">
      <c r="A139" t="s">
        <v>271</v>
      </c>
      <c r="B139" s="15">
        <v>45713</v>
      </c>
      <c r="C139" s="15">
        <v>45716</v>
      </c>
      <c r="D139" t="s">
        <v>157</v>
      </c>
      <c r="E139" t="s">
        <v>111</v>
      </c>
      <c r="F139" t="s">
        <v>147</v>
      </c>
      <c r="G139" t="s">
        <v>94</v>
      </c>
      <c r="H139" t="s">
        <v>87</v>
      </c>
      <c r="I139" s="17">
        <v>1</v>
      </c>
      <c r="J139" s="16">
        <v>0.15</v>
      </c>
      <c r="K139" t="s">
        <v>136</v>
      </c>
      <c r="L139" t="s">
        <v>89</v>
      </c>
      <c r="M139" s="17">
        <v>4</v>
      </c>
    </row>
    <row r="140" spans="1:13">
      <c r="A140" t="s">
        <v>272</v>
      </c>
      <c r="B140" s="15">
        <v>45919</v>
      </c>
      <c r="C140" s="15">
        <v>45922</v>
      </c>
      <c r="D140" t="s">
        <v>100</v>
      </c>
      <c r="E140" t="s">
        <v>84</v>
      </c>
      <c r="F140" t="s">
        <v>107</v>
      </c>
      <c r="G140" t="s">
        <v>86</v>
      </c>
      <c r="H140" t="s">
        <v>103</v>
      </c>
      <c r="I140" s="17">
        <v>5</v>
      </c>
      <c r="J140" s="16">
        <v>0</v>
      </c>
      <c r="K140" t="s">
        <v>136</v>
      </c>
      <c r="L140" t="s">
        <v>89</v>
      </c>
      <c r="M140" s="17">
        <v>3</v>
      </c>
    </row>
    <row r="141" spans="1:13">
      <c r="A141" t="s">
        <v>273</v>
      </c>
      <c r="B141" s="15">
        <v>45717</v>
      </c>
      <c r="C141" s="15">
        <v>45723</v>
      </c>
      <c r="D141" t="s">
        <v>123</v>
      </c>
      <c r="E141" t="s">
        <v>92</v>
      </c>
      <c r="F141" t="s">
        <v>85</v>
      </c>
      <c r="G141" t="s">
        <v>108</v>
      </c>
      <c r="H141" t="s">
        <v>87</v>
      </c>
      <c r="I141" s="17">
        <v>3</v>
      </c>
      <c r="J141" s="16">
        <v>0</v>
      </c>
      <c r="K141" t="s">
        <v>95</v>
      </c>
      <c r="L141" t="s">
        <v>89</v>
      </c>
      <c r="M141" s="17">
        <v>4</v>
      </c>
    </row>
    <row r="142" spans="1:13">
      <c r="A142" t="s">
        <v>274</v>
      </c>
      <c r="B142" s="15">
        <v>45730</v>
      </c>
      <c r="C142" s="15">
        <v>45734</v>
      </c>
      <c r="D142" t="s">
        <v>146</v>
      </c>
      <c r="E142" t="s">
        <v>98</v>
      </c>
      <c r="F142" t="s">
        <v>93</v>
      </c>
      <c r="G142" t="s">
        <v>94</v>
      </c>
      <c r="H142" t="s">
        <v>87</v>
      </c>
      <c r="I142" s="17">
        <v>2</v>
      </c>
      <c r="J142" s="16">
        <v>0.05</v>
      </c>
      <c r="K142" t="s">
        <v>133</v>
      </c>
      <c r="L142" t="s">
        <v>89</v>
      </c>
      <c r="M142" s="17">
        <v>5</v>
      </c>
    </row>
    <row r="143" spans="1:13">
      <c r="A143" t="s">
        <v>275</v>
      </c>
      <c r="B143" s="15">
        <v>45675</v>
      </c>
      <c r="C143" s="15">
        <v>45677</v>
      </c>
      <c r="D143" t="s">
        <v>114</v>
      </c>
      <c r="E143" t="s">
        <v>101</v>
      </c>
      <c r="F143" t="s">
        <v>154</v>
      </c>
      <c r="G143" t="s">
        <v>94</v>
      </c>
      <c r="H143" t="s">
        <v>87</v>
      </c>
      <c r="I143" s="17">
        <v>2</v>
      </c>
      <c r="J143" s="16">
        <v>0.2</v>
      </c>
      <c r="K143" t="s">
        <v>136</v>
      </c>
      <c r="L143" t="s">
        <v>89</v>
      </c>
      <c r="M143" s="17">
        <v>5</v>
      </c>
    </row>
    <row r="144" spans="1:13">
      <c r="A144" t="s">
        <v>276</v>
      </c>
      <c r="B144" s="15">
        <v>45691</v>
      </c>
      <c r="C144" s="15">
        <v>45694</v>
      </c>
      <c r="D144" t="s">
        <v>97</v>
      </c>
      <c r="E144" t="s">
        <v>106</v>
      </c>
      <c r="F144" t="s">
        <v>154</v>
      </c>
      <c r="G144" t="s">
        <v>86</v>
      </c>
      <c r="H144" t="s">
        <v>103</v>
      </c>
      <c r="I144" s="17">
        <v>1</v>
      </c>
      <c r="J144" s="16">
        <v>0.2</v>
      </c>
      <c r="K144" t="s">
        <v>119</v>
      </c>
      <c r="L144" t="s">
        <v>89</v>
      </c>
      <c r="M144" s="17">
        <v>5</v>
      </c>
    </row>
    <row r="145" spans="1:13">
      <c r="A145" t="s">
        <v>277</v>
      </c>
      <c r="B145" s="15">
        <v>45993</v>
      </c>
      <c r="C145" s="15">
        <v>45997</v>
      </c>
      <c r="D145" t="s">
        <v>100</v>
      </c>
      <c r="E145" t="s">
        <v>111</v>
      </c>
      <c r="F145" t="s">
        <v>93</v>
      </c>
      <c r="G145" t="s">
        <v>125</v>
      </c>
      <c r="H145" t="s">
        <v>103</v>
      </c>
      <c r="I145" s="17">
        <v>4</v>
      </c>
      <c r="J145" s="16">
        <v>0.2</v>
      </c>
      <c r="K145" t="s">
        <v>136</v>
      </c>
      <c r="L145" t="s">
        <v>89</v>
      </c>
      <c r="M145" s="17">
        <v>5</v>
      </c>
    </row>
    <row r="146" spans="1:13">
      <c r="A146" t="s">
        <v>278</v>
      </c>
      <c r="B146" s="15">
        <v>45788</v>
      </c>
      <c r="C146" s="15">
        <v>45794</v>
      </c>
      <c r="D146" t="s">
        <v>123</v>
      </c>
      <c r="E146" t="s">
        <v>84</v>
      </c>
      <c r="F146" t="s">
        <v>118</v>
      </c>
      <c r="G146" t="s">
        <v>86</v>
      </c>
      <c r="H146" t="s">
        <v>87</v>
      </c>
      <c r="I146" s="17">
        <v>3</v>
      </c>
      <c r="J146" s="16">
        <v>0.15</v>
      </c>
      <c r="K146" t="s">
        <v>95</v>
      </c>
      <c r="L146" t="s">
        <v>89</v>
      </c>
      <c r="M146" s="17">
        <v>3</v>
      </c>
    </row>
    <row r="147" spans="1:13">
      <c r="A147" t="s">
        <v>279</v>
      </c>
      <c r="B147" s="15">
        <v>45860</v>
      </c>
      <c r="C147" s="15">
        <v>45867</v>
      </c>
      <c r="D147" t="s">
        <v>146</v>
      </c>
      <c r="E147" t="s">
        <v>92</v>
      </c>
      <c r="F147" t="s">
        <v>118</v>
      </c>
      <c r="G147" t="s">
        <v>86</v>
      </c>
      <c r="H147" t="s">
        <v>87</v>
      </c>
      <c r="I147" s="17">
        <v>2</v>
      </c>
      <c r="J147" s="16">
        <v>0</v>
      </c>
      <c r="K147" t="s">
        <v>112</v>
      </c>
      <c r="L147" t="s">
        <v>89</v>
      </c>
      <c r="M147" s="17">
        <v>5</v>
      </c>
    </row>
    <row r="148" spans="1:13">
      <c r="A148" t="s">
        <v>280</v>
      </c>
      <c r="B148" s="15">
        <v>45806</v>
      </c>
      <c r="C148" s="15">
        <v>45810</v>
      </c>
      <c r="D148" t="s">
        <v>130</v>
      </c>
      <c r="E148" t="s">
        <v>98</v>
      </c>
      <c r="F148" t="s">
        <v>121</v>
      </c>
      <c r="G148" t="s">
        <v>86</v>
      </c>
      <c r="H148" t="s">
        <v>86</v>
      </c>
      <c r="I148" s="17">
        <v>4</v>
      </c>
      <c r="J148" s="16">
        <v>0.2</v>
      </c>
      <c r="K148" t="s">
        <v>140</v>
      </c>
      <c r="L148" t="s">
        <v>89</v>
      </c>
      <c r="M148" s="17">
        <v>5</v>
      </c>
    </row>
    <row r="149" spans="1:13">
      <c r="A149" t="s">
        <v>281</v>
      </c>
      <c r="B149" s="15">
        <v>45820</v>
      </c>
      <c r="C149" s="15">
        <v>45823</v>
      </c>
      <c r="D149" t="s">
        <v>157</v>
      </c>
      <c r="E149" t="s">
        <v>101</v>
      </c>
      <c r="F149" t="s">
        <v>149</v>
      </c>
      <c r="G149" t="s">
        <v>108</v>
      </c>
      <c r="H149" t="s">
        <v>87</v>
      </c>
      <c r="I149" s="17">
        <v>1</v>
      </c>
      <c r="J149" s="16">
        <v>0</v>
      </c>
      <c r="K149" t="s">
        <v>88</v>
      </c>
      <c r="L149" t="s">
        <v>89</v>
      </c>
      <c r="M149" s="17">
        <v>4</v>
      </c>
    </row>
    <row r="150" spans="1:13">
      <c r="A150" t="s">
        <v>282</v>
      </c>
      <c r="B150" s="15">
        <v>45867</v>
      </c>
      <c r="C150" s="15">
        <v>45875</v>
      </c>
      <c r="D150" t="s">
        <v>164</v>
      </c>
      <c r="E150" t="s">
        <v>106</v>
      </c>
      <c r="F150" t="s">
        <v>147</v>
      </c>
      <c r="G150" t="s">
        <v>94</v>
      </c>
      <c r="H150" t="s">
        <v>87</v>
      </c>
      <c r="I150" s="17">
        <v>2</v>
      </c>
      <c r="J150" s="16">
        <v>0</v>
      </c>
      <c r="K150" t="s">
        <v>95</v>
      </c>
      <c r="L150" t="s">
        <v>126</v>
      </c>
      <c r="M150" s="17">
        <v>1</v>
      </c>
    </row>
    <row r="151" spans="1:13">
      <c r="A151" t="s">
        <v>283</v>
      </c>
      <c r="B151" s="15">
        <v>45850</v>
      </c>
      <c r="C151" s="15">
        <v>45854</v>
      </c>
      <c r="D151" t="s">
        <v>123</v>
      </c>
      <c r="E151" t="s">
        <v>111</v>
      </c>
      <c r="F151" t="s">
        <v>102</v>
      </c>
      <c r="G151" t="s">
        <v>94</v>
      </c>
      <c r="H151" t="s">
        <v>86</v>
      </c>
      <c r="I151" s="17">
        <v>2</v>
      </c>
      <c r="J151" s="16">
        <v>0</v>
      </c>
      <c r="K151" t="s">
        <v>88</v>
      </c>
      <c r="L151" t="s">
        <v>89</v>
      </c>
      <c r="M151" s="17">
        <v>3</v>
      </c>
    </row>
    <row r="152" spans="1:13">
      <c r="A152" t="s">
        <v>284</v>
      </c>
      <c r="B152" s="15">
        <v>45984</v>
      </c>
      <c r="C152" s="15">
        <v>45987</v>
      </c>
      <c r="D152" t="s">
        <v>83</v>
      </c>
      <c r="E152" t="s">
        <v>84</v>
      </c>
      <c r="F152" t="s">
        <v>154</v>
      </c>
      <c r="G152" t="s">
        <v>86</v>
      </c>
      <c r="H152" t="s">
        <v>103</v>
      </c>
      <c r="I152" s="17">
        <v>2</v>
      </c>
      <c r="J152" s="16">
        <v>0.1</v>
      </c>
      <c r="K152" t="s">
        <v>112</v>
      </c>
      <c r="L152" t="s">
        <v>89</v>
      </c>
      <c r="M152" s="17">
        <v>5</v>
      </c>
    </row>
    <row r="153" spans="1:13">
      <c r="A153" t="s">
        <v>285</v>
      </c>
      <c r="B153" s="15">
        <v>45927</v>
      </c>
      <c r="C153" s="15">
        <v>45931</v>
      </c>
      <c r="D153" t="s">
        <v>114</v>
      </c>
      <c r="E153" t="s">
        <v>92</v>
      </c>
      <c r="F153" t="s">
        <v>154</v>
      </c>
      <c r="G153" t="s">
        <v>108</v>
      </c>
      <c r="H153" t="s">
        <v>86</v>
      </c>
      <c r="I153" s="17">
        <v>3</v>
      </c>
      <c r="J153" s="16">
        <v>0.1</v>
      </c>
      <c r="K153" t="s">
        <v>112</v>
      </c>
      <c r="L153" t="s">
        <v>89</v>
      </c>
      <c r="M153" s="17">
        <v>4</v>
      </c>
    </row>
    <row r="154" spans="1:13">
      <c r="A154" t="s">
        <v>286</v>
      </c>
      <c r="B154" s="15">
        <v>45954</v>
      </c>
      <c r="C154" s="15">
        <v>45958</v>
      </c>
      <c r="D154" t="s">
        <v>157</v>
      </c>
      <c r="E154" t="s">
        <v>98</v>
      </c>
      <c r="F154" t="s">
        <v>147</v>
      </c>
      <c r="G154" t="s">
        <v>86</v>
      </c>
      <c r="H154" t="s">
        <v>86</v>
      </c>
      <c r="I154" s="17">
        <v>3</v>
      </c>
      <c r="J154" s="16">
        <v>0</v>
      </c>
      <c r="K154" t="s">
        <v>112</v>
      </c>
      <c r="L154" t="s">
        <v>89</v>
      </c>
      <c r="M154" s="17">
        <v>4</v>
      </c>
    </row>
    <row r="155" spans="1:13">
      <c r="A155" t="s">
        <v>287</v>
      </c>
      <c r="B155" s="15">
        <v>45694</v>
      </c>
      <c r="C155" s="15">
        <v>45695</v>
      </c>
      <c r="D155" t="s">
        <v>135</v>
      </c>
      <c r="E155" t="s">
        <v>101</v>
      </c>
      <c r="F155" t="s">
        <v>118</v>
      </c>
      <c r="G155" t="s">
        <v>125</v>
      </c>
      <c r="H155" t="s">
        <v>86</v>
      </c>
      <c r="I155" s="17">
        <v>2</v>
      </c>
      <c r="J155" s="16">
        <v>0</v>
      </c>
      <c r="K155" t="s">
        <v>136</v>
      </c>
      <c r="L155" t="s">
        <v>89</v>
      </c>
      <c r="M155" s="17">
        <v>4</v>
      </c>
    </row>
    <row r="156" spans="1:13">
      <c r="A156" t="s">
        <v>288</v>
      </c>
      <c r="B156" s="15">
        <v>45797</v>
      </c>
      <c r="C156" s="15">
        <v>45804</v>
      </c>
      <c r="D156" t="s">
        <v>105</v>
      </c>
      <c r="E156" t="s">
        <v>106</v>
      </c>
      <c r="F156" t="s">
        <v>154</v>
      </c>
      <c r="G156" t="s">
        <v>125</v>
      </c>
      <c r="H156" t="s">
        <v>86</v>
      </c>
      <c r="I156" s="17">
        <v>1</v>
      </c>
      <c r="J156" s="16">
        <v>0</v>
      </c>
      <c r="K156" t="s">
        <v>140</v>
      </c>
      <c r="L156" t="s">
        <v>89</v>
      </c>
      <c r="M156" s="17">
        <v>3</v>
      </c>
    </row>
    <row r="157" spans="1:13">
      <c r="A157" t="s">
        <v>289</v>
      </c>
      <c r="B157" s="15">
        <v>45720</v>
      </c>
      <c r="C157" s="15">
        <v>45725</v>
      </c>
      <c r="D157" t="s">
        <v>83</v>
      </c>
      <c r="E157" t="s">
        <v>111</v>
      </c>
      <c r="F157" t="s">
        <v>107</v>
      </c>
      <c r="G157" t="s">
        <v>94</v>
      </c>
      <c r="H157" t="s">
        <v>86</v>
      </c>
      <c r="I157" s="17">
        <v>2</v>
      </c>
      <c r="J157" s="16">
        <v>0</v>
      </c>
      <c r="K157" t="s">
        <v>136</v>
      </c>
      <c r="L157" t="s">
        <v>89</v>
      </c>
      <c r="M157" s="17">
        <v>3</v>
      </c>
    </row>
    <row r="158" spans="1:13">
      <c r="A158" t="s">
        <v>290</v>
      </c>
      <c r="B158" s="15">
        <v>45749</v>
      </c>
      <c r="C158" s="15">
        <v>45756</v>
      </c>
      <c r="D158" t="s">
        <v>114</v>
      </c>
      <c r="E158" t="s">
        <v>84</v>
      </c>
      <c r="F158" t="s">
        <v>147</v>
      </c>
      <c r="G158" t="s">
        <v>125</v>
      </c>
      <c r="H158" t="s">
        <v>86</v>
      </c>
      <c r="I158" s="17">
        <v>2</v>
      </c>
      <c r="J158" s="16">
        <v>0.15</v>
      </c>
      <c r="K158" t="s">
        <v>112</v>
      </c>
      <c r="L158" t="s">
        <v>89</v>
      </c>
      <c r="M158" s="17">
        <v>4</v>
      </c>
    </row>
    <row r="159" spans="1:13">
      <c r="A159" t="s">
        <v>291</v>
      </c>
      <c r="B159" s="15">
        <v>45753</v>
      </c>
      <c r="C159" s="15">
        <v>45761</v>
      </c>
      <c r="D159" t="s">
        <v>97</v>
      </c>
      <c r="E159" t="s">
        <v>92</v>
      </c>
      <c r="F159" t="s">
        <v>85</v>
      </c>
      <c r="G159" t="s">
        <v>94</v>
      </c>
      <c r="H159" t="s">
        <v>87</v>
      </c>
      <c r="I159" s="17">
        <v>4</v>
      </c>
      <c r="J159" s="16">
        <v>0.1</v>
      </c>
      <c r="K159" t="s">
        <v>88</v>
      </c>
      <c r="L159" t="s">
        <v>89</v>
      </c>
      <c r="M159" s="17">
        <v>5</v>
      </c>
    </row>
    <row r="160" spans="1:13">
      <c r="A160" t="s">
        <v>292</v>
      </c>
      <c r="B160" s="15">
        <v>45667</v>
      </c>
      <c r="C160" s="15">
        <v>45669</v>
      </c>
      <c r="D160" t="s">
        <v>135</v>
      </c>
      <c r="E160" t="s">
        <v>98</v>
      </c>
      <c r="F160" t="s">
        <v>124</v>
      </c>
      <c r="G160" t="s">
        <v>86</v>
      </c>
      <c r="H160" t="s">
        <v>87</v>
      </c>
      <c r="I160" s="17">
        <v>3</v>
      </c>
      <c r="J160" s="16">
        <v>0.2</v>
      </c>
      <c r="K160" t="s">
        <v>119</v>
      </c>
      <c r="L160" t="s">
        <v>89</v>
      </c>
      <c r="M160" s="17">
        <v>3</v>
      </c>
    </row>
    <row r="161" spans="1:13">
      <c r="A161" t="s">
        <v>293</v>
      </c>
      <c r="B161" s="15">
        <v>45905</v>
      </c>
      <c r="C161" s="15">
        <v>45909</v>
      </c>
      <c r="D161" t="s">
        <v>123</v>
      </c>
      <c r="E161" t="s">
        <v>101</v>
      </c>
      <c r="F161" t="s">
        <v>115</v>
      </c>
      <c r="G161" t="s">
        <v>108</v>
      </c>
      <c r="H161" t="s">
        <v>103</v>
      </c>
      <c r="I161" s="17">
        <v>1</v>
      </c>
      <c r="J161" s="16">
        <v>0</v>
      </c>
      <c r="K161" t="s">
        <v>112</v>
      </c>
      <c r="L161" t="s">
        <v>89</v>
      </c>
      <c r="M161" s="17">
        <v>5</v>
      </c>
    </row>
    <row r="162" spans="1:13">
      <c r="A162" t="s">
        <v>294</v>
      </c>
      <c r="B162" s="15">
        <v>45702</v>
      </c>
      <c r="C162" s="15">
        <v>45705</v>
      </c>
      <c r="D162" t="s">
        <v>146</v>
      </c>
      <c r="E162" t="s">
        <v>106</v>
      </c>
      <c r="F162" t="s">
        <v>124</v>
      </c>
      <c r="G162" t="s">
        <v>94</v>
      </c>
      <c r="H162" t="s">
        <v>87</v>
      </c>
      <c r="I162" s="17">
        <v>3</v>
      </c>
      <c r="J162" s="16">
        <v>0</v>
      </c>
      <c r="K162" t="s">
        <v>140</v>
      </c>
      <c r="L162" t="s">
        <v>89</v>
      </c>
      <c r="M162" s="17">
        <v>5</v>
      </c>
    </row>
    <row r="163" spans="1:13">
      <c r="A163" t="s">
        <v>295</v>
      </c>
      <c r="B163" s="15">
        <v>45689</v>
      </c>
      <c r="C163" s="15">
        <v>45691</v>
      </c>
      <c r="D163" t="s">
        <v>91</v>
      </c>
      <c r="E163" t="s">
        <v>111</v>
      </c>
      <c r="F163" t="s">
        <v>85</v>
      </c>
      <c r="G163" t="s">
        <v>125</v>
      </c>
      <c r="H163" t="s">
        <v>87</v>
      </c>
      <c r="I163" s="17">
        <v>1</v>
      </c>
      <c r="J163" s="16">
        <v>0</v>
      </c>
      <c r="K163" t="s">
        <v>133</v>
      </c>
      <c r="L163" t="s">
        <v>89</v>
      </c>
      <c r="M163" s="17">
        <v>3</v>
      </c>
    </row>
    <row r="164" spans="1:13">
      <c r="A164" t="s">
        <v>296</v>
      </c>
      <c r="B164" s="15">
        <v>45683</v>
      </c>
      <c r="C164" s="15">
        <v>45686</v>
      </c>
      <c r="D164" t="s">
        <v>157</v>
      </c>
      <c r="E164" t="s">
        <v>84</v>
      </c>
      <c r="F164" t="s">
        <v>147</v>
      </c>
      <c r="G164" t="s">
        <v>86</v>
      </c>
      <c r="H164" t="s">
        <v>103</v>
      </c>
      <c r="I164" s="17">
        <v>2</v>
      </c>
      <c r="J164" s="16">
        <v>0.15</v>
      </c>
      <c r="K164" t="s">
        <v>112</v>
      </c>
      <c r="L164" t="s">
        <v>126</v>
      </c>
      <c r="M164" s="17">
        <v>2</v>
      </c>
    </row>
    <row r="165" spans="1:13">
      <c r="A165" t="s">
        <v>297</v>
      </c>
      <c r="B165" s="15">
        <v>45973</v>
      </c>
      <c r="C165" s="15">
        <v>45976</v>
      </c>
      <c r="D165" t="s">
        <v>212</v>
      </c>
      <c r="E165" t="s">
        <v>92</v>
      </c>
      <c r="F165" t="s">
        <v>121</v>
      </c>
      <c r="G165" t="s">
        <v>125</v>
      </c>
      <c r="H165" t="s">
        <v>87</v>
      </c>
      <c r="I165" s="17">
        <v>5</v>
      </c>
      <c r="J165" s="16">
        <v>0.1</v>
      </c>
      <c r="K165" t="s">
        <v>119</v>
      </c>
      <c r="L165" t="s">
        <v>89</v>
      </c>
      <c r="M165" s="17">
        <v>5</v>
      </c>
    </row>
    <row r="166" spans="1:13">
      <c r="A166" t="s">
        <v>298</v>
      </c>
      <c r="B166" s="15">
        <v>45925</v>
      </c>
      <c r="C166" s="15">
        <v>45932</v>
      </c>
      <c r="D166" t="s">
        <v>123</v>
      </c>
      <c r="E166" t="s">
        <v>98</v>
      </c>
      <c r="F166" t="s">
        <v>154</v>
      </c>
      <c r="G166" t="s">
        <v>94</v>
      </c>
      <c r="H166" t="s">
        <v>86</v>
      </c>
      <c r="I166" s="17">
        <v>4</v>
      </c>
      <c r="J166" s="16">
        <v>0</v>
      </c>
      <c r="K166" t="s">
        <v>95</v>
      </c>
      <c r="L166" t="s">
        <v>89</v>
      </c>
      <c r="M166" s="17">
        <v>4</v>
      </c>
    </row>
    <row r="167" spans="1:13">
      <c r="A167" t="s">
        <v>299</v>
      </c>
      <c r="B167" s="15">
        <v>45923</v>
      </c>
      <c r="C167" s="15">
        <v>45930</v>
      </c>
      <c r="D167" t="s">
        <v>83</v>
      </c>
      <c r="E167" t="s">
        <v>101</v>
      </c>
      <c r="F167" t="s">
        <v>102</v>
      </c>
      <c r="G167" t="s">
        <v>94</v>
      </c>
      <c r="H167" t="s">
        <v>103</v>
      </c>
      <c r="I167" s="17">
        <v>4</v>
      </c>
      <c r="J167" s="16">
        <v>0.2</v>
      </c>
      <c r="K167" t="s">
        <v>116</v>
      </c>
      <c r="L167" t="s">
        <v>89</v>
      </c>
      <c r="M167" s="17">
        <v>4</v>
      </c>
    </row>
    <row r="168" spans="1:13">
      <c r="A168" t="s">
        <v>300</v>
      </c>
      <c r="B168" s="15">
        <v>45922</v>
      </c>
      <c r="C168" s="15">
        <v>45924</v>
      </c>
      <c r="D168" t="s">
        <v>130</v>
      </c>
      <c r="E168" t="s">
        <v>106</v>
      </c>
      <c r="F168" t="s">
        <v>102</v>
      </c>
      <c r="G168" t="s">
        <v>108</v>
      </c>
      <c r="H168" t="s">
        <v>86</v>
      </c>
      <c r="I168" s="17">
        <v>1</v>
      </c>
      <c r="J168" s="16">
        <v>0.2</v>
      </c>
      <c r="K168" t="s">
        <v>119</v>
      </c>
      <c r="L168" t="s">
        <v>89</v>
      </c>
      <c r="M168" s="17">
        <v>3</v>
      </c>
    </row>
    <row r="169" spans="1:13">
      <c r="A169" t="s">
        <v>301</v>
      </c>
      <c r="B169" s="15">
        <v>45954</v>
      </c>
      <c r="C169" s="15">
        <v>45958</v>
      </c>
      <c r="D169" t="s">
        <v>157</v>
      </c>
      <c r="E169" t="s">
        <v>111</v>
      </c>
      <c r="F169" t="s">
        <v>107</v>
      </c>
      <c r="G169" t="s">
        <v>86</v>
      </c>
      <c r="H169" t="s">
        <v>103</v>
      </c>
      <c r="I169" s="17">
        <v>2</v>
      </c>
      <c r="J169" s="16">
        <v>0.05</v>
      </c>
      <c r="K169" t="s">
        <v>119</v>
      </c>
      <c r="L169" t="s">
        <v>89</v>
      </c>
      <c r="M169" s="17">
        <v>4</v>
      </c>
    </row>
    <row r="170" spans="1:13">
      <c r="A170" t="s">
        <v>302</v>
      </c>
      <c r="B170" s="15">
        <v>45969</v>
      </c>
      <c r="C170" s="15">
        <v>45974</v>
      </c>
      <c r="D170" t="s">
        <v>164</v>
      </c>
      <c r="E170" t="s">
        <v>84</v>
      </c>
      <c r="F170" t="s">
        <v>147</v>
      </c>
      <c r="G170" t="s">
        <v>125</v>
      </c>
      <c r="H170" t="s">
        <v>103</v>
      </c>
      <c r="I170" s="17">
        <v>3</v>
      </c>
      <c r="J170" s="16">
        <v>0.2</v>
      </c>
      <c r="K170" t="s">
        <v>95</v>
      </c>
      <c r="L170" t="s">
        <v>89</v>
      </c>
      <c r="M170" s="17">
        <v>4</v>
      </c>
    </row>
    <row r="171" spans="1:13">
      <c r="A171" t="s">
        <v>303</v>
      </c>
      <c r="B171" s="15">
        <v>45891</v>
      </c>
      <c r="C171" s="15">
        <v>45896</v>
      </c>
      <c r="D171" t="s">
        <v>123</v>
      </c>
      <c r="E171" t="s">
        <v>92</v>
      </c>
      <c r="F171" t="s">
        <v>107</v>
      </c>
      <c r="G171" t="s">
        <v>125</v>
      </c>
      <c r="H171" t="s">
        <v>87</v>
      </c>
      <c r="I171" s="17">
        <v>4</v>
      </c>
      <c r="J171" s="16">
        <v>0.05</v>
      </c>
      <c r="K171" t="s">
        <v>112</v>
      </c>
      <c r="L171" t="s">
        <v>89</v>
      </c>
      <c r="M171" s="17">
        <v>5</v>
      </c>
    </row>
    <row r="172" spans="1:13">
      <c r="A172" t="s">
        <v>304</v>
      </c>
      <c r="B172" s="15">
        <v>45851</v>
      </c>
      <c r="C172" s="15">
        <v>45854</v>
      </c>
      <c r="D172" t="s">
        <v>83</v>
      </c>
      <c r="E172" t="s">
        <v>98</v>
      </c>
      <c r="F172" t="s">
        <v>118</v>
      </c>
      <c r="G172" t="s">
        <v>108</v>
      </c>
      <c r="H172" t="s">
        <v>86</v>
      </c>
      <c r="I172" s="17">
        <v>5</v>
      </c>
      <c r="J172" s="16">
        <v>0.2</v>
      </c>
      <c r="K172" t="s">
        <v>140</v>
      </c>
      <c r="L172" t="s">
        <v>89</v>
      </c>
      <c r="M172" s="17">
        <v>3</v>
      </c>
    </row>
    <row r="173" spans="1:13">
      <c r="A173" t="s">
        <v>305</v>
      </c>
      <c r="B173" s="15">
        <v>45912</v>
      </c>
      <c r="C173" s="15">
        <v>45913</v>
      </c>
      <c r="D173" t="s">
        <v>114</v>
      </c>
      <c r="E173" t="s">
        <v>101</v>
      </c>
      <c r="F173" t="s">
        <v>124</v>
      </c>
      <c r="G173" t="s">
        <v>94</v>
      </c>
      <c r="H173" t="s">
        <v>103</v>
      </c>
      <c r="I173" s="17">
        <v>4</v>
      </c>
      <c r="J173" s="16">
        <v>0.2</v>
      </c>
      <c r="K173" t="s">
        <v>88</v>
      </c>
      <c r="L173" t="s">
        <v>89</v>
      </c>
      <c r="M173" s="17">
        <v>4</v>
      </c>
    </row>
    <row r="174" spans="1:13">
      <c r="A174" t="s">
        <v>306</v>
      </c>
      <c r="B174" s="15">
        <v>45659</v>
      </c>
      <c r="C174" s="15">
        <v>45662</v>
      </c>
      <c r="D174" t="s">
        <v>157</v>
      </c>
      <c r="E174" t="s">
        <v>106</v>
      </c>
      <c r="F174" t="s">
        <v>115</v>
      </c>
      <c r="G174" t="s">
        <v>125</v>
      </c>
      <c r="H174" t="s">
        <v>86</v>
      </c>
      <c r="I174" s="17">
        <v>1</v>
      </c>
      <c r="J174" s="16">
        <v>0.15</v>
      </c>
      <c r="K174" t="s">
        <v>119</v>
      </c>
      <c r="L174" t="s">
        <v>89</v>
      </c>
      <c r="M174" s="17">
        <v>5</v>
      </c>
    </row>
    <row r="175" spans="1:13">
      <c r="A175" t="s">
        <v>307</v>
      </c>
      <c r="B175" s="15">
        <v>45907</v>
      </c>
      <c r="C175" s="15">
        <v>45911</v>
      </c>
      <c r="D175" t="s">
        <v>212</v>
      </c>
      <c r="E175" t="s">
        <v>111</v>
      </c>
      <c r="F175" t="s">
        <v>147</v>
      </c>
      <c r="G175" t="s">
        <v>125</v>
      </c>
      <c r="H175" t="s">
        <v>103</v>
      </c>
      <c r="I175" s="17">
        <v>1</v>
      </c>
      <c r="J175" s="16">
        <v>0.1</v>
      </c>
      <c r="K175" t="s">
        <v>112</v>
      </c>
      <c r="L175" t="s">
        <v>89</v>
      </c>
      <c r="M175" s="17">
        <v>4</v>
      </c>
    </row>
    <row r="176" spans="1:13">
      <c r="A176" t="s">
        <v>308</v>
      </c>
      <c r="B176" s="15">
        <v>45950</v>
      </c>
      <c r="C176" s="15">
        <v>45952</v>
      </c>
      <c r="D176" t="s">
        <v>105</v>
      </c>
      <c r="E176" t="s">
        <v>84</v>
      </c>
      <c r="F176" t="s">
        <v>107</v>
      </c>
      <c r="G176" t="s">
        <v>108</v>
      </c>
      <c r="H176" t="s">
        <v>86</v>
      </c>
      <c r="I176" s="17">
        <v>4</v>
      </c>
      <c r="J176" s="16">
        <v>0</v>
      </c>
      <c r="K176" t="s">
        <v>140</v>
      </c>
      <c r="L176" t="s">
        <v>89</v>
      </c>
      <c r="M176" s="17">
        <v>3</v>
      </c>
    </row>
    <row r="177" spans="1:13">
      <c r="A177" t="s">
        <v>309</v>
      </c>
      <c r="B177" s="15">
        <v>45810</v>
      </c>
      <c r="C177" s="15">
        <v>45815</v>
      </c>
      <c r="D177" t="s">
        <v>146</v>
      </c>
      <c r="E177" t="s">
        <v>92</v>
      </c>
      <c r="F177" t="s">
        <v>149</v>
      </c>
      <c r="G177" t="s">
        <v>86</v>
      </c>
      <c r="H177" t="s">
        <v>86</v>
      </c>
      <c r="I177" s="17">
        <v>2</v>
      </c>
      <c r="J177" s="16">
        <v>0.2</v>
      </c>
      <c r="K177" t="s">
        <v>140</v>
      </c>
      <c r="L177" t="s">
        <v>89</v>
      </c>
      <c r="M177" s="17">
        <v>3</v>
      </c>
    </row>
    <row r="178" spans="1:13">
      <c r="A178" t="s">
        <v>310</v>
      </c>
      <c r="B178" s="15">
        <v>45787</v>
      </c>
      <c r="C178" s="15">
        <v>45790</v>
      </c>
      <c r="D178" t="s">
        <v>114</v>
      </c>
      <c r="E178" t="s">
        <v>98</v>
      </c>
      <c r="F178" t="s">
        <v>121</v>
      </c>
      <c r="G178" t="s">
        <v>108</v>
      </c>
      <c r="H178" t="s">
        <v>86</v>
      </c>
      <c r="I178" s="17">
        <v>3</v>
      </c>
      <c r="J178" s="16">
        <v>0.2</v>
      </c>
      <c r="K178" t="s">
        <v>136</v>
      </c>
      <c r="L178" t="s">
        <v>89</v>
      </c>
      <c r="M178" s="17">
        <v>3</v>
      </c>
    </row>
    <row r="179" spans="1:13">
      <c r="A179" t="s">
        <v>311</v>
      </c>
      <c r="B179" s="15">
        <v>45665</v>
      </c>
      <c r="C179" s="15">
        <v>45667</v>
      </c>
      <c r="D179" t="s">
        <v>157</v>
      </c>
      <c r="E179" t="s">
        <v>101</v>
      </c>
      <c r="F179" t="s">
        <v>124</v>
      </c>
      <c r="G179" t="s">
        <v>94</v>
      </c>
      <c r="H179" t="s">
        <v>103</v>
      </c>
      <c r="I179" s="17">
        <v>1</v>
      </c>
      <c r="J179" s="16">
        <v>0.2</v>
      </c>
      <c r="K179" t="s">
        <v>119</v>
      </c>
      <c r="L179" t="s">
        <v>89</v>
      </c>
      <c r="M179" s="17">
        <v>3</v>
      </c>
    </row>
    <row r="180" spans="1:13">
      <c r="A180" t="s">
        <v>312</v>
      </c>
      <c r="B180" s="15">
        <v>45668</v>
      </c>
      <c r="C180" s="15">
        <v>45675</v>
      </c>
      <c r="D180" t="s">
        <v>100</v>
      </c>
      <c r="E180" t="s">
        <v>106</v>
      </c>
      <c r="F180" t="s">
        <v>85</v>
      </c>
      <c r="G180" t="s">
        <v>125</v>
      </c>
      <c r="H180" t="s">
        <v>87</v>
      </c>
      <c r="I180" s="17">
        <v>1</v>
      </c>
      <c r="J180" s="16">
        <v>0</v>
      </c>
      <c r="K180" t="s">
        <v>88</v>
      </c>
      <c r="L180" t="s">
        <v>89</v>
      </c>
      <c r="M180" s="17">
        <v>5</v>
      </c>
    </row>
    <row r="181" spans="1:13">
      <c r="A181" t="s">
        <v>313</v>
      </c>
      <c r="B181" s="15">
        <v>45976</v>
      </c>
      <c r="C181" s="15">
        <v>45983</v>
      </c>
      <c r="D181" t="s">
        <v>123</v>
      </c>
      <c r="E181" t="s">
        <v>111</v>
      </c>
      <c r="F181" t="s">
        <v>190</v>
      </c>
      <c r="G181" t="s">
        <v>94</v>
      </c>
      <c r="H181" t="s">
        <v>103</v>
      </c>
      <c r="I181" s="17">
        <v>2</v>
      </c>
      <c r="J181" s="16">
        <v>0.2</v>
      </c>
      <c r="K181" t="s">
        <v>95</v>
      </c>
      <c r="L181" t="s">
        <v>89</v>
      </c>
      <c r="M181" s="17">
        <v>5</v>
      </c>
    </row>
    <row r="182" spans="1:13">
      <c r="A182" t="s">
        <v>314</v>
      </c>
      <c r="B182" s="15">
        <v>45734</v>
      </c>
      <c r="C182" s="15">
        <v>45735</v>
      </c>
      <c r="D182" t="s">
        <v>83</v>
      </c>
      <c r="E182" t="s">
        <v>84</v>
      </c>
      <c r="F182" t="s">
        <v>154</v>
      </c>
      <c r="G182" t="s">
        <v>94</v>
      </c>
      <c r="H182" t="s">
        <v>87</v>
      </c>
      <c r="I182" s="17">
        <v>5</v>
      </c>
      <c r="J182" s="16">
        <v>0</v>
      </c>
      <c r="K182" t="s">
        <v>133</v>
      </c>
      <c r="L182" t="s">
        <v>89</v>
      </c>
      <c r="M182" s="17">
        <v>3</v>
      </c>
    </row>
    <row r="183" spans="1:13">
      <c r="A183" t="s">
        <v>315</v>
      </c>
      <c r="B183" s="15">
        <v>45661</v>
      </c>
      <c r="C183" s="15">
        <v>45664</v>
      </c>
      <c r="D183" t="s">
        <v>130</v>
      </c>
      <c r="E183" t="s">
        <v>92</v>
      </c>
      <c r="F183" t="s">
        <v>154</v>
      </c>
      <c r="G183" t="s">
        <v>86</v>
      </c>
      <c r="H183" t="s">
        <v>103</v>
      </c>
      <c r="I183" s="17">
        <v>3</v>
      </c>
      <c r="J183" s="16">
        <v>0</v>
      </c>
      <c r="K183" t="s">
        <v>133</v>
      </c>
      <c r="L183" t="s">
        <v>89</v>
      </c>
      <c r="M183" s="17">
        <v>3</v>
      </c>
    </row>
    <row r="184" spans="1:13">
      <c r="A184" t="s">
        <v>316</v>
      </c>
      <c r="B184" s="15">
        <v>45782</v>
      </c>
      <c r="C184" s="15">
        <v>45783</v>
      </c>
      <c r="D184" t="s">
        <v>157</v>
      </c>
      <c r="E184" t="s">
        <v>98</v>
      </c>
      <c r="F184" t="s">
        <v>124</v>
      </c>
      <c r="G184" t="s">
        <v>86</v>
      </c>
      <c r="H184" t="s">
        <v>103</v>
      </c>
      <c r="I184" s="17">
        <v>5</v>
      </c>
      <c r="J184" s="16">
        <v>0</v>
      </c>
      <c r="K184" t="s">
        <v>88</v>
      </c>
      <c r="L184" t="s">
        <v>89</v>
      </c>
      <c r="M184" s="17">
        <v>4</v>
      </c>
    </row>
    <row r="185" spans="1:13">
      <c r="A185" t="s">
        <v>317</v>
      </c>
      <c r="B185" s="15">
        <v>45890</v>
      </c>
      <c r="C185" s="15">
        <v>45894</v>
      </c>
      <c r="D185" t="s">
        <v>100</v>
      </c>
      <c r="E185" t="s">
        <v>101</v>
      </c>
      <c r="F185" t="s">
        <v>102</v>
      </c>
      <c r="G185" t="s">
        <v>94</v>
      </c>
      <c r="H185" t="s">
        <v>87</v>
      </c>
      <c r="I185" s="17">
        <v>1</v>
      </c>
      <c r="J185" s="16">
        <v>0.05</v>
      </c>
      <c r="K185" t="s">
        <v>133</v>
      </c>
      <c r="L185" t="s">
        <v>126</v>
      </c>
      <c r="M185" s="17">
        <v>3</v>
      </c>
    </row>
    <row r="186" spans="1:13">
      <c r="A186" t="s">
        <v>318</v>
      </c>
      <c r="B186" s="15">
        <v>45784</v>
      </c>
      <c r="C186" s="15">
        <v>45786</v>
      </c>
      <c r="D186" t="s">
        <v>105</v>
      </c>
      <c r="E186" t="s">
        <v>106</v>
      </c>
      <c r="F186" t="s">
        <v>115</v>
      </c>
      <c r="G186" t="s">
        <v>86</v>
      </c>
      <c r="H186" t="s">
        <v>86</v>
      </c>
      <c r="I186" s="17">
        <v>5</v>
      </c>
      <c r="J186" s="16">
        <v>0</v>
      </c>
      <c r="K186" t="s">
        <v>119</v>
      </c>
      <c r="L186" t="s">
        <v>89</v>
      </c>
      <c r="M186" s="17">
        <v>5</v>
      </c>
    </row>
    <row r="187" spans="1:13">
      <c r="A187" t="s">
        <v>319</v>
      </c>
      <c r="B187" s="15">
        <v>45833</v>
      </c>
      <c r="C187" s="15">
        <v>45834</v>
      </c>
      <c r="D187" t="s">
        <v>83</v>
      </c>
      <c r="E187" t="s">
        <v>111</v>
      </c>
      <c r="F187" t="s">
        <v>107</v>
      </c>
      <c r="G187" t="s">
        <v>108</v>
      </c>
      <c r="H187" t="s">
        <v>103</v>
      </c>
      <c r="I187" s="17">
        <v>3</v>
      </c>
      <c r="J187" s="16">
        <v>0.15</v>
      </c>
      <c r="K187" t="s">
        <v>119</v>
      </c>
      <c r="L187" t="s">
        <v>89</v>
      </c>
      <c r="M187" s="17">
        <v>4</v>
      </c>
    </row>
    <row r="188" spans="1:13">
      <c r="A188" t="s">
        <v>320</v>
      </c>
      <c r="B188" s="15">
        <v>45795</v>
      </c>
      <c r="C188" s="15">
        <v>45801</v>
      </c>
      <c r="D188" t="s">
        <v>114</v>
      </c>
      <c r="E188" t="s">
        <v>84</v>
      </c>
      <c r="F188" t="s">
        <v>121</v>
      </c>
      <c r="G188" t="s">
        <v>86</v>
      </c>
      <c r="H188" t="s">
        <v>87</v>
      </c>
      <c r="I188" s="17">
        <v>5</v>
      </c>
      <c r="J188" s="16">
        <v>0</v>
      </c>
      <c r="K188" t="s">
        <v>133</v>
      </c>
      <c r="L188" t="s">
        <v>89</v>
      </c>
      <c r="M188" s="17">
        <v>5</v>
      </c>
    </row>
    <row r="189" spans="1:13">
      <c r="A189" t="s">
        <v>321</v>
      </c>
      <c r="B189" s="15">
        <v>45683</v>
      </c>
      <c r="C189" s="15">
        <v>45688</v>
      </c>
      <c r="D189" t="s">
        <v>157</v>
      </c>
      <c r="E189" t="s">
        <v>92</v>
      </c>
      <c r="F189" t="s">
        <v>124</v>
      </c>
      <c r="G189" t="s">
        <v>125</v>
      </c>
      <c r="H189" t="s">
        <v>103</v>
      </c>
      <c r="I189" s="17">
        <v>2</v>
      </c>
      <c r="J189" s="16">
        <v>0.2</v>
      </c>
      <c r="K189" t="s">
        <v>112</v>
      </c>
      <c r="L189" t="s">
        <v>89</v>
      </c>
      <c r="M189" s="17">
        <v>4</v>
      </c>
    </row>
    <row r="190" spans="1:13">
      <c r="A190" t="s">
        <v>322</v>
      </c>
      <c r="B190" s="15">
        <v>45895</v>
      </c>
      <c r="C190" s="15">
        <v>45902</v>
      </c>
      <c r="E190" t="s">
        <v>98</v>
      </c>
      <c r="F190" t="s">
        <v>149</v>
      </c>
      <c r="G190" t="s">
        <v>108</v>
      </c>
      <c r="H190" t="s">
        <v>103</v>
      </c>
      <c r="I190" s="17">
        <v>2</v>
      </c>
      <c r="J190" s="16">
        <v>0.1</v>
      </c>
      <c r="K190" t="s">
        <v>140</v>
      </c>
      <c r="L190" t="s">
        <v>89</v>
      </c>
      <c r="M190" s="17">
        <v>4</v>
      </c>
    </row>
    <row r="191" spans="1:13">
      <c r="A191" t="s">
        <v>323</v>
      </c>
      <c r="B191" s="15">
        <v>45694</v>
      </c>
      <c r="C191" s="15">
        <v>45696</v>
      </c>
      <c r="D191" t="s">
        <v>123</v>
      </c>
      <c r="E191" t="s">
        <v>101</v>
      </c>
      <c r="F191" t="s">
        <v>121</v>
      </c>
      <c r="G191" t="s">
        <v>125</v>
      </c>
      <c r="H191" t="s">
        <v>86</v>
      </c>
      <c r="I191" s="17">
        <v>2</v>
      </c>
      <c r="J191" s="16">
        <v>0</v>
      </c>
      <c r="K191" t="s">
        <v>112</v>
      </c>
      <c r="L191" t="s">
        <v>89</v>
      </c>
      <c r="M191" s="17">
        <v>3</v>
      </c>
    </row>
    <row r="192" spans="1:13">
      <c r="A192" t="s">
        <v>324</v>
      </c>
      <c r="B192" s="15">
        <v>45733</v>
      </c>
      <c r="C192" s="15">
        <v>45736</v>
      </c>
      <c r="D192" t="s">
        <v>128</v>
      </c>
      <c r="E192" t="s">
        <v>106</v>
      </c>
      <c r="F192" t="s">
        <v>154</v>
      </c>
      <c r="G192" t="s">
        <v>86</v>
      </c>
      <c r="H192" t="s">
        <v>103</v>
      </c>
      <c r="I192" s="17">
        <v>2</v>
      </c>
      <c r="J192" s="16">
        <v>0</v>
      </c>
      <c r="K192" t="s">
        <v>140</v>
      </c>
      <c r="L192" t="s">
        <v>89</v>
      </c>
      <c r="M192" s="17">
        <v>3</v>
      </c>
    </row>
    <row r="193" spans="1:13">
      <c r="A193" t="s">
        <v>325</v>
      </c>
      <c r="B193" s="15">
        <v>45733</v>
      </c>
      <c r="C193" s="15">
        <v>45736</v>
      </c>
      <c r="D193" t="s">
        <v>91</v>
      </c>
      <c r="E193" t="s">
        <v>111</v>
      </c>
      <c r="F193" t="s">
        <v>93</v>
      </c>
      <c r="G193" t="s">
        <v>125</v>
      </c>
      <c r="H193" t="s">
        <v>103</v>
      </c>
      <c r="I193" s="17">
        <v>4</v>
      </c>
      <c r="J193" s="16">
        <v>0.2</v>
      </c>
      <c r="K193" t="s">
        <v>119</v>
      </c>
      <c r="L193" t="s">
        <v>126</v>
      </c>
      <c r="M193" s="17">
        <v>2</v>
      </c>
    </row>
    <row r="194" spans="1:13">
      <c r="A194" t="s">
        <v>326</v>
      </c>
      <c r="B194" s="15">
        <v>45957</v>
      </c>
      <c r="C194" s="15">
        <v>45965</v>
      </c>
      <c r="D194" t="s">
        <v>132</v>
      </c>
      <c r="E194" t="s">
        <v>84</v>
      </c>
      <c r="F194" t="s">
        <v>115</v>
      </c>
      <c r="G194" t="s">
        <v>125</v>
      </c>
      <c r="H194" t="s">
        <v>103</v>
      </c>
      <c r="I194" s="17">
        <v>3</v>
      </c>
      <c r="J194" s="16">
        <v>0.15</v>
      </c>
      <c r="K194" t="s">
        <v>140</v>
      </c>
      <c r="L194" t="s">
        <v>89</v>
      </c>
      <c r="M194" s="17">
        <v>4</v>
      </c>
    </row>
    <row r="195" spans="1:13">
      <c r="A195" t="s">
        <v>327</v>
      </c>
      <c r="B195" s="15">
        <v>45914</v>
      </c>
      <c r="C195" s="15">
        <v>45915</v>
      </c>
      <c r="D195" t="s">
        <v>164</v>
      </c>
      <c r="E195" t="s">
        <v>92</v>
      </c>
      <c r="F195" t="s">
        <v>147</v>
      </c>
      <c r="G195" t="s">
        <v>94</v>
      </c>
      <c r="H195" t="s">
        <v>86</v>
      </c>
      <c r="I195" s="17">
        <v>4</v>
      </c>
      <c r="J195" s="16">
        <v>0</v>
      </c>
      <c r="K195" t="s">
        <v>136</v>
      </c>
      <c r="L195" t="s">
        <v>89</v>
      </c>
      <c r="M195" s="17">
        <v>5</v>
      </c>
    </row>
    <row r="196" spans="1:13">
      <c r="A196" t="s">
        <v>328</v>
      </c>
      <c r="B196" s="15">
        <v>45697</v>
      </c>
      <c r="C196" s="15">
        <v>45702</v>
      </c>
      <c r="D196" t="s">
        <v>123</v>
      </c>
      <c r="E196" t="s">
        <v>98</v>
      </c>
      <c r="F196" t="s">
        <v>107</v>
      </c>
      <c r="G196" t="s">
        <v>86</v>
      </c>
      <c r="H196" t="s">
        <v>86</v>
      </c>
      <c r="I196" s="17">
        <v>2</v>
      </c>
      <c r="J196" s="16">
        <v>0</v>
      </c>
      <c r="K196" t="s">
        <v>140</v>
      </c>
      <c r="L196" t="s">
        <v>89</v>
      </c>
      <c r="M196" s="17">
        <v>4</v>
      </c>
    </row>
    <row r="197" spans="1:13">
      <c r="A197" t="s">
        <v>329</v>
      </c>
      <c r="B197" s="15">
        <v>45999</v>
      </c>
      <c r="C197" s="15">
        <v>46007</v>
      </c>
      <c r="D197" t="s">
        <v>83</v>
      </c>
      <c r="E197" t="s">
        <v>101</v>
      </c>
      <c r="F197" t="s">
        <v>149</v>
      </c>
      <c r="G197" t="s">
        <v>125</v>
      </c>
      <c r="H197" t="s">
        <v>86</v>
      </c>
      <c r="I197" s="17">
        <v>1</v>
      </c>
      <c r="J197" s="16">
        <v>0.2</v>
      </c>
      <c r="K197" t="s">
        <v>140</v>
      </c>
      <c r="L197" t="s">
        <v>89</v>
      </c>
      <c r="M197" s="17">
        <v>3</v>
      </c>
    </row>
    <row r="198" spans="1:13">
      <c r="A198" t="s">
        <v>330</v>
      </c>
      <c r="B198" s="15">
        <v>45692</v>
      </c>
      <c r="C198" s="15">
        <v>45700</v>
      </c>
      <c r="D198" t="s">
        <v>91</v>
      </c>
      <c r="E198" t="s">
        <v>106</v>
      </c>
      <c r="F198" t="s">
        <v>93</v>
      </c>
      <c r="G198" t="s">
        <v>108</v>
      </c>
      <c r="H198" t="s">
        <v>103</v>
      </c>
      <c r="I198" s="17">
        <v>3</v>
      </c>
      <c r="J198" s="16">
        <v>0</v>
      </c>
      <c r="K198" t="s">
        <v>140</v>
      </c>
      <c r="L198" t="s">
        <v>89</v>
      </c>
      <c r="M198" s="17">
        <v>5</v>
      </c>
    </row>
    <row r="199" spans="1:13">
      <c r="A199" t="s">
        <v>331</v>
      </c>
      <c r="B199" s="15">
        <v>45958</v>
      </c>
      <c r="C199" s="15">
        <v>45964</v>
      </c>
      <c r="D199" t="s">
        <v>97</v>
      </c>
      <c r="E199" t="s">
        <v>111</v>
      </c>
      <c r="F199" t="s">
        <v>124</v>
      </c>
      <c r="G199" t="s">
        <v>86</v>
      </c>
      <c r="H199" t="s">
        <v>87</v>
      </c>
      <c r="I199" s="17">
        <v>3</v>
      </c>
      <c r="J199" s="16">
        <v>0.15</v>
      </c>
      <c r="K199" t="s">
        <v>112</v>
      </c>
      <c r="L199" t="s">
        <v>126</v>
      </c>
      <c r="M199" s="17">
        <v>1</v>
      </c>
    </row>
    <row r="200" spans="1:13">
      <c r="A200" t="s">
        <v>332</v>
      </c>
      <c r="B200" s="15">
        <v>45794</v>
      </c>
      <c r="C200" s="15">
        <v>45799</v>
      </c>
      <c r="D200" t="s">
        <v>212</v>
      </c>
      <c r="E200" t="s">
        <v>84</v>
      </c>
      <c r="F200" t="s">
        <v>102</v>
      </c>
      <c r="G200" t="s">
        <v>108</v>
      </c>
      <c r="H200" t="s">
        <v>87</v>
      </c>
      <c r="I200" s="17">
        <v>2</v>
      </c>
      <c r="J200" s="16">
        <v>0.1</v>
      </c>
      <c r="K200" t="s">
        <v>116</v>
      </c>
      <c r="L200" t="s">
        <v>89</v>
      </c>
      <c r="M200" s="17">
        <v>5</v>
      </c>
    </row>
    <row r="201" spans="1:13">
      <c r="A201" t="s">
        <v>333</v>
      </c>
      <c r="B201" s="15">
        <v>45750</v>
      </c>
      <c r="C201" s="15">
        <v>45758</v>
      </c>
      <c r="D201" t="s">
        <v>123</v>
      </c>
      <c r="E201" t="s">
        <v>92</v>
      </c>
      <c r="F201" t="s">
        <v>138</v>
      </c>
      <c r="G201" t="s">
        <v>86</v>
      </c>
      <c r="H201" t="s">
        <v>103</v>
      </c>
      <c r="I201" s="17">
        <v>1</v>
      </c>
      <c r="J201" s="16">
        <v>0</v>
      </c>
      <c r="K201" t="s">
        <v>88</v>
      </c>
      <c r="L201" t="s">
        <v>89</v>
      </c>
      <c r="M201" s="17">
        <v>3</v>
      </c>
    </row>
    <row r="202" spans="1:13">
      <c r="A202" t="s">
        <v>334</v>
      </c>
      <c r="B202" s="15">
        <v>45752</v>
      </c>
      <c r="C202" s="15">
        <v>45757</v>
      </c>
      <c r="D202" t="s">
        <v>83</v>
      </c>
      <c r="E202" t="s">
        <v>98</v>
      </c>
      <c r="F202" t="s">
        <v>138</v>
      </c>
      <c r="G202" t="s">
        <v>108</v>
      </c>
      <c r="H202" t="s">
        <v>103</v>
      </c>
      <c r="I202" s="17">
        <v>2</v>
      </c>
      <c r="J202" s="16">
        <v>0</v>
      </c>
      <c r="K202" t="s">
        <v>88</v>
      </c>
      <c r="L202" t="s">
        <v>89</v>
      </c>
      <c r="M202" s="17">
        <v>4</v>
      </c>
    </row>
    <row r="203" spans="1:13">
      <c r="A203" t="s">
        <v>335</v>
      </c>
      <c r="B203" s="15">
        <v>45943</v>
      </c>
      <c r="C203" s="15">
        <v>45945</v>
      </c>
      <c r="D203" t="s">
        <v>91</v>
      </c>
      <c r="E203" t="s">
        <v>101</v>
      </c>
      <c r="F203" t="s">
        <v>149</v>
      </c>
      <c r="G203" t="s">
        <v>125</v>
      </c>
      <c r="H203" t="s">
        <v>103</v>
      </c>
      <c r="I203" s="17">
        <v>1</v>
      </c>
      <c r="J203" s="16">
        <v>0</v>
      </c>
      <c r="K203" t="s">
        <v>133</v>
      </c>
      <c r="L203" t="s">
        <v>89</v>
      </c>
      <c r="M203" s="17">
        <v>4</v>
      </c>
    </row>
    <row r="204" spans="1:13">
      <c r="A204" t="s">
        <v>336</v>
      </c>
      <c r="B204" s="15">
        <v>45824</v>
      </c>
      <c r="C204" s="15">
        <v>45830</v>
      </c>
      <c r="D204" t="s">
        <v>157</v>
      </c>
      <c r="E204" t="s">
        <v>106</v>
      </c>
      <c r="F204" t="s">
        <v>121</v>
      </c>
      <c r="G204" t="s">
        <v>125</v>
      </c>
      <c r="H204" t="s">
        <v>103</v>
      </c>
      <c r="I204" s="17">
        <v>3</v>
      </c>
      <c r="J204" s="16">
        <v>0</v>
      </c>
      <c r="K204" t="s">
        <v>133</v>
      </c>
      <c r="L204" t="s">
        <v>89</v>
      </c>
      <c r="M204" s="17">
        <v>5</v>
      </c>
    </row>
    <row r="205" spans="1:13">
      <c r="A205" t="s">
        <v>337</v>
      </c>
      <c r="B205" s="15">
        <v>45906</v>
      </c>
      <c r="C205" s="15">
        <v>45908</v>
      </c>
      <c r="D205" t="s">
        <v>212</v>
      </c>
      <c r="E205" t="s">
        <v>111</v>
      </c>
      <c r="F205" t="s">
        <v>85</v>
      </c>
      <c r="G205" t="s">
        <v>94</v>
      </c>
      <c r="H205" t="s">
        <v>86</v>
      </c>
      <c r="I205" s="17">
        <v>2</v>
      </c>
      <c r="J205" s="16">
        <v>0.1</v>
      </c>
      <c r="K205" t="s">
        <v>133</v>
      </c>
      <c r="L205" t="s">
        <v>89</v>
      </c>
      <c r="M205" s="17">
        <v>5</v>
      </c>
    </row>
    <row r="206" spans="1:13">
      <c r="A206" t="s">
        <v>338</v>
      </c>
      <c r="B206" s="15">
        <v>45805</v>
      </c>
      <c r="C206" s="15">
        <v>45813</v>
      </c>
      <c r="D206" t="s">
        <v>123</v>
      </c>
      <c r="E206" t="s">
        <v>84</v>
      </c>
      <c r="F206" t="s">
        <v>115</v>
      </c>
      <c r="G206" t="s">
        <v>86</v>
      </c>
      <c r="H206" t="s">
        <v>86</v>
      </c>
      <c r="I206" s="17">
        <v>5</v>
      </c>
      <c r="J206" s="16">
        <v>0</v>
      </c>
      <c r="K206" t="s">
        <v>133</v>
      </c>
      <c r="L206" t="s">
        <v>89</v>
      </c>
      <c r="M206" s="17">
        <v>5</v>
      </c>
    </row>
    <row r="207" spans="1:13">
      <c r="A207" t="s">
        <v>339</v>
      </c>
      <c r="B207" s="15">
        <v>45676</v>
      </c>
      <c r="C207" s="15">
        <v>45677</v>
      </c>
      <c r="D207" t="s">
        <v>110</v>
      </c>
      <c r="E207" t="s">
        <v>92</v>
      </c>
      <c r="F207" t="s">
        <v>147</v>
      </c>
      <c r="G207" t="s">
        <v>94</v>
      </c>
      <c r="H207" t="s">
        <v>103</v>
      </c>
      <c r="I207" s="17">
        <v>4</v>
      </c>
      <c r="J207" s="16">
        <v>0.05</v>
      </c>
      <c r="K207" t="s">
        <v>140</v>
      </c>
      <c r="L207" t="s">
        <v>89</v>
      </c>
      <c r="M207" s="17">
        <v>3</v>
      </c>
    </row>
    <row r="208" spans="1:13">
      <c r="A208" t="s">
        <v>340</v>
      </c>
      <c r="B208" s="15">
        <v>45684</v>
      </c>
      <c r="C208" s="15">
        <v>45685</v>
      </c>
      <c r="D208" t="s">
        <v>114</v>
      </c>
      <c r="E208" t="s">
        <v>98</v>
      </c>
      <c r="F208" t="s">
        <v>107</v>
      </c>
      <c r="G208" t="s">
        <v>108</v>
      </c>
      <c r="H208" t="s">
        <v>103</v>
      </c>
      <c r="I208" s="17">
        <v>4</v>
      </c>
      <c r="J208" s="16">
        <v>0.1</v>
      </c>
      <c r="K208" t="s">
        <v>112</v>
      </c>
      <c r="L208" t="s">
        <v>89</v>
      </c>
      <c r="M208" s="17">
        <v>3</v>
      </c>
    </row>
    <row r="209" spans="1:13">
      <c r="A209" t="s">
        <v>341</v>
      </c>
      <c r="B209" s="15">
        <v>45701</v>
      </c>
      <c r="C209" s="15">
        <v>45702</v>
      </c>
      <c r="D209" t="s">
        <v>157</v>
      </c>
      <c r="E209" t="s">
        <v>101</v>
      </c>
      <c r="F209" t="s">
        <v>102</v>
      </c>
      <c r="G209" t="s">
        <v>108</v>
      </c>
      <c r="H209" t="s">
        <v>86</v>
      </c>
      <c r="I209" s="17">
        <v>1</v>
      </c>
      <c r="J209" s="16">
        <v>0</v>
      </c>
      <c r="K209" t="s">
        <v>136</v>
      </c>
      <c r="L209" t="s">
        <v>89</v>
      </c>
      <c r="M209" s="17">
        <v>4</v>
      </c>
    </row>
    <row r="210" spans="1:13">
      <c r="A210" t="s">
        <v>342</v>
      </c>
      <c r="B210" s="15">
        <v>45720</v>
      </c>
      <c r="C210" s="15">
        <v>45721</v>
      </c>
      <c r="D210" t="s">
        <v>135</v>
      </c>
      <c r="E210" t="s">
        <v>106</v>
      </c>
      <c r="F210" t="s">
        <v>107</v>
      </c>
      <c r="G210" t="s">
        <v>86</v>
      </c>
      <c r="H210" t="s">
        <v>87</v>
      </c>
      <c r="I210" s="17">
        <v>1</v>
      </c>
      <c r="J210" s="16">
        <v>0</v>
      </c>
      <c r="K210" t="s">
        <v>140</v>
      </c>
      <c r="L210" t="s">
        <v>89</v>
      </c>
      <c r="M210" s="17">
        <v>5</v>
      </c>
    </row>
    <row r="211" spans="1:13">
      <c r="A211" t="s">
        <v>343</v>
      </c>
      <c r="B211" s="15">
        <v>45943</v>
      </c>
      <c r="C211" s="15">
        <v>45947</v>
      </c>
      <c r="D211" t="s">
        <v>105</v>
      </c>
      <c r="E211" t="s">
        <v>111</v>
      </c>
      <c r="F211" t="s">
        <v>138</v>
      </c>
      <c r="G211" t="s">
        <v>108</v>
      </c>
      <c r="H211" t="s">
        <v>103</v>
      </c>
      <c r="I211" s="17">
        <v>3</v>
      </c>
      <c r="J211" s="16">
        <v>0.05</v>
      </c>
      <c r="K211" t="s">
        <v>133</v>
      </c>
      <c r="L211" t="s">
        <v>89</v>
      </c>
      <c r="M211" s="17">
        <v>3</v>
      </c>
    </row>
    <row r="212" spans="1:13">
      <c r="A212" t="s">
        <v>344</v>
      </c>
      <c r="B212" s="15">
        <v>45715</v>
      </c>
      <c r="C212" s="15">
        <v>45716</v>
      </c>
      <c r="D212" t="s">
        <v>110</v>
      </c>
      <c r="E212" t="s">
        <v>84</v>
      </c>
      <c r="F212" t="s">
        <v>124</v>
      </c>
      <c r="G212" t="s">
        <v>108</v>
      </c>
      <c r="H212" t="s">
        <v>103</v>
      </c>
      <c r="I212" s="17">
        <v>5</v>
      </c>
      <c r="J212" s="16">
        <v>0.1</v>
      </c>
      <c r="K212" t="s">
        <v>119</v>
      </c>
      <c r="L212" t="s">
        <v>89</v>
      </c>
      <c r="M212" s="17">
        <v>4</v>
      </c>
    </row>
    <row r="213" spans="1:13">
      <c r="A213" t="s">
        <v>345</v>
      </c>
      <c r="B213" s="15">
        <v>45906</v>
      </c>
      <c r="C213" s="15">
        <v>45910</v>
      </c>
      <c r="D213" t="s">
        <v>114</v>
      </c>
      <c r="E213" t="s">
        <v>92</v>
      </c>
      <c r="F213" t="s">
        <v>138</v>
      </c>
      <c r="G213" t="s">
        <v>94</v>
      </c>
      <c r="H213" t="s">
        <v>103</v>
      </c>
      <c r="I213" s="17">
        <v>5</v>
      </c>
      <c r="J213" s="16">
        <v>0.15</v>
      </c>
      <c r="K213" t="s">
        <v>133</v>
      </c>
      <c r="L213" t="s">
        <v>89</v>
      </c>
      <c r="M213" s="17">
        <v>4</v>
      </c>
    </row>
    <row r="214" spans="1:13">
      <c r="A214" t="s">
        <v>346</v>
      </c>
      <c r="B214" s="15">
        <v>45829</v>
      </c>
      <c r="C214" s="15">
        <v>45830</v>
      </c>
      <c r="D214" t="s">
        <v>97</v>
      </c>
      <c r="E214" t="s">
        <v>98</v>
      </c>
      <c r="F214" t="s">
        <v>121</v>
      </c>
      <c r="G214" t="s">
        <v>125</v>
      </c>
      <c r="H214" t="s">
        <v>87</v>
      </c>
      <c r="I214" s="17">
        <v>5</v>
      </c>
      <c r="J214" s="16">
        <v>0</v>
      </c>
      <c r="K214" t="s">
        <v>136</v>
      </c>
      <c r="L214" t="s">
        <v>89</v>
      </c>
      <c r="M214" s="17">
        <v>3</v>
      </c>
    </row>
    <row r="215" spans="1:13">
      <c r="A215" t="s">
        <v>347</v>
      </c>
      <c r="B215" s="15">
        <v>45921</v>
      </c>
      <c r="C215" s="15">
        <v>45928</v>
      </c>
      <c r="D215" t="s">
        <v>135</v>
      </c>
      <c r="E215" t="s">
        <v>101</v>
      </c>
      <c r="F215" t="s">
        <v>138</v>
      </c>
      <c r="G215" t="s">
        <v>125</v>
      </c>
      <c r="H215" t="s">
        <v>87</v>
      </c>
      <c r="I215" s="17">
        <v>3</v>
      </c>
      <c r="J215" s="16">
        <v>0.15</v>
      </c>
      <c r="K215" t="s">
        <v>140</v>
      </c>
      <c r="L215" t="s">
        <v>89</v>
      </c>
      <c r="M215" s="17">
        <v>4</v>
      </c>
    </row>
    <row r="216" spans="1:13">
      <c r="A216" t="s">
        <v>348</v>
      </c>
      <c r="B216" s="15">
        <v>45923</v>
      </c>
      <c r="C216" s="15">
        <v>45931</v>
      </c>
      <c r="D216" t="s">
        <v>105</v>
      </c>
      <c r="E216" t="s">
        <v>106</v>
      </c>
      <c r="F216" t="s">
        <v>118</v>
      </c>
      <c r="G216" t="s">
        <v>108</v>
      </c>
      <c r="H216" t="s">
        <v>103</v>
      </c>
      <c r="I216" s="17">
        <v>3</v>
      </c>
      <c r="J216" s="16">
        <v>0</v>
      </c>
      <c r="K216" t="s">
        <v>140</v>
      </c>
      <c r="L216" t="s">
        <v>89</v>
      </c>
      <c r="M216" s="17">
        <v>4</v>
      </c>
    </row>
    <row r="217" spans="1:13">
      <c r="A217" t="s">
        <v>349</v>
      </c>
      <c r="B217" s="15">
        <v>45767</v>
      </c>
      <c r="C217" s="15">
        <v>45768</v>
      </c>
      <c r="D217" t="s">
        <v>146</v>
      </c>
      <c r="E217" t="s">
        <v>111</v>
      </c>
      <c r="F217" t="s">
        <v>93</v>
      </c>
      <c r="G217" t="s">
        <v>125</v>
      </c>
      <c r="H217" t="s">
        <v>103</v>
      </c>
      <c r="I217" s="17">
        <v>2</v>
      </c>
      <c r="J217" s="16">
        <v>0</v>
      </c>
      <c r="K217" t="s">
        <v>116</v>
      </c>
      <c r="L217" t="s">
        <v>89</v>
      </c>
      <c r="M217" s="17">
        <v>5</v>
      </c>
    </row>
    <row r="218" spans="1:13">
      <c r="A218" t="s">
        <v>350</v>
      </c>
      <c r="B218" s="15">
        <v>45992</v>
      </c>
      <c r="C218" s="15">
        <v>45996</v>
      </c>
      <c r="D218" t="s">
        <v>114</v>
      </c>
      <c r="E218" t="s">
        <v>84</v>
      </c>
      <c r="F218" t="s">
        <v>102</v>
      </c>
      <c r="G218" t="s">
        <v>86</v>
      </c>
      <c r="H218" t="s">
        <v>103</v>
      </c>
      <c r="I218" s="17">
        <v>3</v>
      </c>
      <c r="J218" s="16">
        <v>0.2</v>
      </c>
      <c r="K218" t="s">
        <v>133</v>
      </c>
      <c r="L218" t="s">
        <v>126</v>
      </c>
      <c r="M218" s="17">
        <v>3</v>
      </c>
    </row>
    <row r="219" spans="1:13">
      <c r="A219" t="s">
        <v>351</v>
      </c>
      <c r="B219" s="15">
        <v>45968</v>
      </c>
      <c r="C219" s="15">
        <v>45975</v>
      </c>
      <c r="D219" t="s">
        <v>97</v>
      </c>
      <c r="E219" t="s">
        <v>92</v>
      </c>
      <c r="F219" t="s">
        <v>107</v>
      </c>
      <c r="G219" t="s">
        <v>86</v>
      </c>
      <c r="H219" t="s">
        <v>86</v>
      </c>
      <c r="I219" s="17">
        <v>5</v>
      </c>
      <c r="J219" s="16">
        <v>0.2</v>
      </c>
      <c r="K219" t="s">
        <v>140</v>
      </c>
      <c r="L219" t="s">
        <v>89</v>
      </c>
      <c r="M219" s="17">
        <v>4</v>
      </c>
    </row>
    <row r="220" spans="1:13">
      <c r="A220" t="s">
        <v>352</v>
      </c>
      <c r="B220" s="15">
        <v>45677</v>
      </c>
      <c r="C220" s="15">
        <v>45685</v>
      </c>
      <c r="D220" t="s">
        <v>212</v>
      </c>
      <c r="E220" t="s">
        <v>98</v>
      </c>
      <c r="F220" t="s">
        <v>154</v>
      </c>
      <c r="G220" t="s">
        <v>125</v>
      </c>
      <c r="H220" t="s">
        <v>86</v>
      </c>
      <c r="I220" s="17">
        <v>2</v>
      </c>
      <c r="J220" s="16">
        <v>0.2</v>
      </c>
      <c r="K220" t="s">
        <v>88</v>
      </c>
      <c r="L220" t="s">
        <v>89</v>
      </c>
      <c r="M220" s="17">
        <v>4</v>
      </c>
    </row>
    <row r="221" spans="1:13">
      <c r="A221" t="s">
        <v>353</v>
      </c>
      <c r="B221" s="15">
        <v>45726</v>
      </c>
      <c r="C221" s="15">
        <v>45734</v>
      </c>
      <c r="D221" t="s">
        <v>123</v>
      </c>
      <c r="E221" t="s">
        <v>101</v>
      </c>
      <c r="F221" t="s">
        <v>118</v>
      </c>
      <c r="G221" t="s">
        <v>94</v>
      </c>
      <c r="H221" t="s">
        <v>103</v>
      </c>
      <c r="I221" s="17">
        <v>1</v>
      </c>
      <c r="J221" s="16">
        <v>0.15</v>
      </c>
      <c r="K221" t="s">
        <v>119</v>
      </c>
      <c r="L221" t="s">
        <v>89</v>
      </c>
      <c r="M221" s="17">
        <v>5</v>
      </c>
    </row>
    <row r="222" spans="1:13">
      <c r="A222" t="s">
        <v>354</v>
      </c>
      <c r="B222" s="15">
        <v>45822</v>
      </c>
      <c r="C222" s="15">
        <v>45825</v>
      </c>
      <c r="D222" t="s">
        <v>128</v>
      </c>
      <c r="E222" t="s">
        <v>106</v>
      </c>
      <c r="F222" t="s">
        <v>138</v>
      </c>
      <c r="G222" t="s">
        <v>94</v>
      </c>
      <c r="H222" t="s">
        <v>86</v>
      </c>
      <c r="I222" s="17">
        <v>1</v>
      </c>
      <c r="J222" s="16">
        <v>0.05</v>
      </c>
      <c r="K222" t="s">
        <v>112</v>
      </c>
      <c r="L222" t="s">
        <v>89</v>
      </c>
      <c r="M222" s="17">
        <v>3</v>
      </c>
    </row>
    <row r="223" spans="1:13">
      <c r="A223" t="s">
        <v>355</v>
      </c>
      <c r="B223" s="15">
        <v>45844</v>
      </c>
      <c r="C223" s="15">
        <v>45845</v>
      </c>
      <c r="D223" t="s">
        <v>114</v>
      </c>
      <c r="E223" t="s">
        <v>111</v>
      </c>
      <c r="F223" t="s">
        <v>118</v>
      </c>
      <c r="G223" t="s">
        <v>108</v>
      </c>
      <c r="H223" t="s">
        <v>86</v>
      </c>
      <c r="I223" s="17">
        <v>1</v>
      </c>
      <c r="J223" s="16">
        <v>0.1</v>
      </c>
      <c r="K223" t="s">
        <v>95</v>
      </c>
      <c r="L223" t="s">
        <v>89</v>
      </c>
      <c r="M223" s="17">
        <v>4</v>
      </c>
    </row>
    <row r="224" spans="1:13">
      <c r="A224" t="s">
        <v>356</v>
      </c>
      <c r="B224" s="15">
        <v>45924</v>
      </c>
      <c r="C224" s="15">
        <v>45929</v>
      </c>
      <c r="D224" t="s">
        <v>157</v>
      </c>
      <c r="E224" t="s">
        <v>84</v>
      </c>
      <c r="F224" t="s">
        <v>121</v>
      </c>
      <c r="G224" t="s">
        <v>125</v>
      </c>
      <c r="H224" t="s">
        <v>87</v>
      </c>
      <c r="I224" s="17">
        <v>3</v>
      </c>
      <c r="J224" s="16">
        <v>0.1</v>
      </c>
      <c r="K224" t="s">
        <v>95</v>
      </c>
      <c r="L224" t="s">
        <v>89</v>
      </c>
      <c r="M224" s="17">
        <v>4</v>
      </c>
    </row>
    <row r="225" spans="1:13">
      <c r="A225" t="s">
        <v>357</v>
      </c>
      <c r="B225" s="15">
        <v>45804</v>
      </c>
      <c r="C225" s="15">
        <v>45810</v>
      </c>
      <c r="D225" t="s">
        <v>135</v>
      </c>
      <c r="E225" t="s">
        <v>92</v>
      </c>
      <c r="F225" t="s">
        <v>93</v>
      </c>
      <c r="G225" t="s">
        <v>125</v>
      </c>
      <c r="H225" t="s">
        <v>103</v>
      </c>
      <c r="I225" s="17">
        <v>2</v>
      </c>
      <c r="J225" s="16">
        <v>0.15</v>
      </c>
      <c r="K225" t="s">
        <v>88</v>
      </c>
      <c r="L225" t="s">
        <v>89</v>
      </c>
      <c r="M225" s="17">
        <v>5</v>
      </c>
    </row>
    <row r="226" spans="1:13">
      <c r="A226" t="s">
        <v>358</v>
      </c>
      <c r="B226" s="15">
        <v>45979</v>
      </c>
      <c r="C226" s="15">
        <v>45982</v>
      </c>
      <c r="D226" t="s">
        <v>123</v>
      </c>
      <c r="E226" t="s">
        <v>98</v>
      </c>
      <c r="F226" t="s">
        <v>107</v>
      </c>
      <c r="G226" t="s">
        <v>86</v>
      </c>
      <c r="H226" t="s">
        <v>87</v>
      </c>
      <c r="I226" s="17">
        <v>1</v>
      </c>
      <c r="J226" s="16">
        <v>0</v>
      </c>
      <c r="K226" t="s">
        <v>88</v>
      </c>
      <c r="L226" t="s">
        <v>89</v>
      </c>
      <c r="M226" s="17">
        <v>5</v>
      </c>
    </row>
    <row r="227" spans="1:13">
      <c r="A227" t="s">
        <v>359</v>
      </c>
      <c r="B227" s="15">
        <v>45982</v>
      </c>
      <c r="C227" s="15">
        <v>45985</v>
      </c>
      <c r="D227" t="s">
        <v>110</v>
      </c>
      <c r="E227" t="s">
        <v>101</v>
      </c>
      <c r="F227" t="s">
        <v>154</v>
      </c>
      <c r="G227" t="s">
        <v>108</v>
      </c>
      <c r="H227" t="s">
        <v>103</v>
      </c>
      <c r="I227" s="17">
        <v>3</v>
      </c>
      <c r="J227" s="16">
        <v>0.1</v>
      </c>
      <c r="K227" t="s">
        <v>133</v>
      </c>
      <c r="L227" t="s">
        <v>89</v>
      </c>
      <c r="M227" s="17">
        <v>3</v>
      </c>
    </row>
    <row r="228" spans="1:13">
      <c r="A228" t="s">
        <v>360</v>
      </c>
      <c r="B228" s="15">
        <v>45843</v>
      </c>
      <c r="C228" s="15">
        <v>45846</v>
      </c>
      <c r="D228" t="s">
        <v>91</v>
      </c>
      <c r="E228" t="s">
        <v>106</v>
      </c>
      <c r="F228" t="s">
        <v>124</v>
      </c>
      <c r="G228" t="s">
        <v>108</v>
      </c>
      <c r="H228" t="s">
        <v>87</v>
      </c>
      <c r="I228" s="17">
        <v>2</v>
      </c>
      <c r="J228" s="16">
        <v>0.15</v>
      </c>
      <c r="K228" t="s">
        <v>88</v>
      </c>
      <c r="L228" t="s">
        <v>89</v>
      </c>
      <c r="M228" s="17">
        <v>3</v>
      </c>
    </row>
    <row r="229" spans="1:13">
      <c r="A229" t="s">
        <v>361</v>
      </c>
      <c r="B229" s="15">
        <v>45688</v>
      </c>
      <c r="C229" s="15">
        <v>45689</v>
      </c>
      <c r="D229" t="s">
        <v>157</v>
      </c>
      <c r="E229" t="s">
        <v>111</v>
      </c>
      <c r="F229" t="s">
        <v>124</v>
      </c>
      <c r="G229" t="s">
        <v>125</v>
      </c>
      <c r="H229" t="s">
        <v>86</v>
      </c>
      <c r="I229" s="17">
        <v>4</v>
      </c>
      <c r="J229" s="16">
        <v>0</v>
      </c>
      <c r="K229" t="s">
        <v>119</v>
      </c>
      <c r="L229" t="s">
        <v>126</v>
      </c>
      <c r="M229" s="17">
        <v>1</v>
      </c>
    </row>
    <row r="230" spans="1:13">
      <c r="A230" t="s">
        <v>362</v>
      </c>
      <c r="B230" s="15">
        <v>45785</v>
      </c>
      <c r="C230" s="15">
        <v>45791</v>
      </c>
      <c r="D230" t="s">
        <v>212</v>
      </c>
      <c r="E230" t="s">
        <v>84</v>
      </c>
      <c r="F230" t="s">
        <v>121</v>
      </c>
      <c r="G230" t="s">
        <v>94</v>
      </c>
      <c r="H230" t="s">
        <v>86</v>
      </c>
      <c r="I230" s="17">
        <v>2</v>
      </c>
      <c r="J230" s="16">
        <v>0</v>
      </c>
      <c r="K230" t="s">
        <v>119</v>
      </c>
      <c r="L230" t="s">
        <v>89</v>
      </c>
      <c r="M230" s="17">
        <v>4</v>
      </c>
    </row>
    <row r="231" spans="1:13">
      <c r="A231" t="s">
        <v>363</v>
      </c>
      <c r="B231" s="15">
        <v>45668</v>
      </c>
      <c r="C231" s="15">
        <v>45669</v>
      </c>
      <c r="D231" t="s">
        <v>123</v>
      </c>
      <c r="E231" t="s">
        <v>92</v>
      </c>
      <c r="F231" t="s">
        <v>107</v>
      </c>
      <c r="G231" t="s">
        <v>94</v>
      </c>
      <c r="H231" t="s">
        <v>87</v>
      </c>
      <c r="I231" s="17">
        <v>5</v>
      </c>
      <c r="J231" s="16">
        <v>0</v>
      </c>
      <c r="K231" t="s">
        <v>112</v>
      </c>
      <c r="L231" t="s">
        <v>89</v>
      </c>
      <c r="M231" s="17">
        <v>4</v>
      </c>
    </row>
    <row r="232" spans="1:13">
      <c r="A232" t="s">
        <v>364</v>
      </c>
      <c r="B232" s="15">
        <v>45661</v>
      </c>
      <c r="C232" s="15">
        <v>45667</v>
      </c>
      <c r="D232" t="s">
        <v>128</v>
      </c>
      <c r="E232" t="s">
        <v>98</v>
      </c>
      <c r="F232" t="s">
        <v>93</v>
      </c>
      <c r="G232" t="s">
        <v>94</v>
      </c>
      <c r="H232" t="s">
        <v>86</v>
      </c>
      <c r="I232" s="17">
        <v>4</v>
      </c>
      <c r="J232" s="16">
        <v>0.15</v>
      </c>
      <c r="K232" t="s">
        <v>116</v>
      </c>
      <c r="L232" t="s">
        <v>89</v>
      </c>
      <c r="M232" s="17">
        <v>5</v>
      </c>
    </row>
    <row r="233" spans="1:13">
      <c r="A233" t="s">
        <v>365</v>
      </c>
      <c r="B233" s="15">
        <v>45725</v>
      </c>
      <c r="C233" s="15">
        <v>45730</v>
      </c>
      <c r="D233" t="s">
        <v>130</v>
      </c>
      <c r="E233" t="s">
        <v>101</v>
      </c>
      <c r="F233" t="s">
        <v>124</v>
      </c>
      <c r="G233" t="s">
        <v>108</v>
      </c>
      <c r="H233" t="s">
        <v>103</v>
      </c>
      <c r="I233" s="17">
        <v>5</v>
      </c>
      <c r="J233" s="16">
        <v>0.2</v>
      </c>
      <c r="K233" t="s">
        <v>119</v>
      </c>
      <c r="L233" t="s">
        <v>89</v>
      </c>
      <c r="M233" s="17">
        <v>3</v>
      </c>
    </row>
    <row r="234" spans="1:13">
      <c r="A234" t="s">
        <v>366</v>
      </c>
      <c r="B234" s="15">
        <v>45998</v>
      </c>
      <c r="C234" s="15">
        <v>46004</v>
      </c>
      <c r="D234" t="s">
        <v>157</v>
      </c>
      <c r="E234" t="s">
        <v>106</v>
      </c>
      <c r="F234" t="s">
        <v>149</v>
      </c>
      <c r="G234" t="s">
        <v>125</v>
      </c>
      <c r="H234" t="s">
        <v>86</v>
      </c>
      <c r="I234" s="17">
        <v>2</v>
      </c>
      <c r="J234" s="16">
        <v>0</v>
      </c>
      <c r="K234" t="s">
        <v>136</v>
      </c>
      <c r="L234" t="s">
        <v>126</v>
      </c>
      <c r="M234" s="17">
        <v>3</v>
      </c>
    </row>
    <row r="235" spans="1:13">
      <c r="A235" t="s">
        <v>367</v>
      </c>
      <c r="B235" s="15">
        <v>45954</v>
      </c>
      <c r="C235" s="15">
        <v>45955</v>
      </c>
      <c r="D235" t="s">
        <v>212</v>
      </c>
      <c r="E235" t="s">
        <v>111</v>
      </c>
      <c r="F235" t="s">
        <v>118</v>
      </c>
      <c r="G235" t="s">
        <v>86</v>
      </c>
      <c r="H235" t="s">
        <v>86</v>
      </c>
      <c r="I235" s="17">
        <v>5</v>
      </c>
      <c r="J235" s="16">
        <v>0</v>
      </c>
      <c r="K235" t="s">
        <v>140</v>
      </c>
      <c r="L235" t="s">
        <v>89</v>
      </c>
      <c r="M235" s="17">
        <v>5</v>
      </c>
    </row>
    <row r="236" spans="1:13">
      <c r="A236" t="s">
        <v>368</v>
      </c>
      <c r="B236" s="15">
        <v>45895</v>
      </c>
      <c r="C236" s="15">
        <v>45898</v>
      </c>
      <c r="D236" t="s">
        <v>166</v>
      </c>
      <c r="E236" t="s">
        <v>84</v>
      </c>
      <c r="F236" t="s">
        <v>102</v>
      </c>
      <c r="G236" t="s">
        <v>108</v>
      </c>
      <c r="H236" t="s">
        <v>86</v>
      </c>
      <c r="I236" s="17">
        <v>5</v>
      </c>
      <c r="J236" s="16">
        <v>0.15</v>
      </c>
      <c r="K236" t="s">
        <v>88</v>
      </c>
      <c r="L236" t="s">
        <v>89</v>
      </c>
      <c r="M236" s="17">
        <v>4</v>
      </c>
    </row>
    <row r="237" spans="1:13">
      <c r="A237" t="s">
        <v>369</v>
      </c>
      <c r="B237" s="15">
        <v>45910</v>
      </c>
      <c r="C237" s="15">
        <v>45918</v>
      </c>
      <c r="D237" t="s">
        <v>146</v>
      </c>
      <c r="E237" t="s">
        <v>92</v>
      </c>
      <c r="F237" t="s">
        <v>118</v>
      </c>
      <c r="G237" t="s">
        <v>125</v>
      </c>
      <c r="H237" t="s">
        <v>103</v>
      </c>
      <c r="I237" s="17">
        <v>2</v>
      </c>
      <c r="J237" s="16">
        <v>0.1</v>
      </c>
      <c r="K237" t="s">
        <v>136</v>
      </c>
      <c r="L237" t="s">
        <v>89</v>
      </c>
      <c r="M237" s="17">
        <v>5</v>
      </c>
    </row>
    <row r="238" spans="1:13">
      <c r="A238" t="s">
        <v>370</v>
      </c>
      <c r="B238" s="15">
        <v>45977</v>
      </c>
      <c r="C238" s="15">
        <v>45983</v>
      </c>
      <c r="D238" t="s">
        <v>114</v>
      </c>
      <c r="E238" t="s">
        <v>98</v>
      </c>
      <c r="F238" t="s">
        <v>121</v>
      </c>
      <c r="G238" t="s">
        <v>86</v>
      </c>
      <c r="H238" t="s">
        <v>86</v>
      </c>
      <c r="I238" s="17">
        <v>5</v>
      </c>
      <c r="J238" s="16">
        <v>0.2</v>
      </c>
      <c r="K238" t="s">
        <v>140</v>
      </c>
      <c r="L238" t="s">
        <v>89</v>
      </c>
      <c r="M238" s="17">
        <v>3</v>
      </c>
    </row>
    <row r="239" spans="1:13">
      <c r="A239" t="s">
        <v>371</v>
      </c>
      <c r="B239" s="15">
        <v>45872</v>
      </c>
      <c r="C239" s="15">
        <v>45875</v>
      </c>
      <c r="D239" t="s">
        <v>132</v>
      </c>
      <c r="E239" t="s">
        <v>101</v>
      </c>
      <c r="F239" t="s">
        <v>124</v>
      </c>
      <c r="G239" t="s">
        <v>125</v>
      </c>
      <c r="H239" t="s">
        <v>103</v>
      </c>
      <c r="I239" s="17">
        <v>1</v>
      </c>
      <c r="J239" s="16">
        <v>0</v>
      </c>
      <c r="K239" t="s">
        <v>140</v>
      </c>
      <c r="L239" t="s">
        <v>89</v>
      </c>
      <c r="M239" s="17">
        <v>3</v>
      </c>
    </row>
    <row r="240" spans="1:13">
      <c r="A240" t="s">
        <v>372</v>
      </c>
      <c r="B240" s="15">
        <v>45814</v>
      </c>
      <c r="C240" s="15">
        <v>45819</v>
      </c>
      <c r="D240" t="s">
        <v>100</v>
      </c>
      <c r="E240" t="s">
        <v>106</v>
      </c>
      <c r="F240" t="s">
        <v>121</v>
      </c>
      <c r="G240" t="s">
        <v>86</v>
      </c>
      <c r="H240" t="s">
        <v>103</v>
      </c>
      <c r="I240" s="17">
        <v>1</v>
      </c>
      <c r="J240" s="16">
        <v>0.2</v>
      </c>
      <c r="K240" t="s">
        <v>133</v>
      </c>
      <c r="L240" t="s">
        <v>89</v>
      </c>
      <c r="M240" s="17">
        <v>5</v>
      </c>
    </row>
    <row r="241" spans="1:13">
      <c r="A241" t="s">
        <v>373</v>
      </c>
      <c r="B241" s="15">
        <v>45901</v>
      </c>
      <c r="C241" s="15">
        <v>45905</v>
      </c>
      <c r="D241" t="s">
        <v>123</v>
      </c>
      <c r="E241" t="s">
        <v>111</v>
      </c>
      <c r="F241" t="s">
        <v>115</v>
      </c>
      <c r="G241" t="s">
        <v>94</v>
      </c>
      <c r="H241" t="s">
        <v>87</v>
      </c>
      <c r="I241" s="17">
        <v>3</v>
      </c>
      <c r="J241" s="16">
        <v>0.15</v>
      </c>
      <c r="K241" t="s">
        <v>116</v>
      </c>
      <c r="L241" t="s">
        <v>89</v>
      </c>
      <c r="M241" s="17">
        <v>4</v>
      </c>
    </row>
    <row r="242" spans="1:13">
      <c r="A242" t="s">
        <v>374</v>
      </c>
      <c r="B242" s="15">
        <v>45729</v>
      </c>
      <c r="C242" s="15">
        <v>45732</v>
      </c>
      <c r="D242" t="s">
        <v>146</v>
      </c>
      <c r="E242" t="s">
        <v>84</v>
      </c>
      <c r="F242" t="s">
        <v>138</v>
      </c>
      <c r="G242" t="s">
        <v>86</v>
      </c>
      <c r="H242" t="s">
        <v>86</v>
      </c>
      <c r="I242" s="17">
        <v>5</v>
      </c>
      <c r="J242" s="16">
        <v>0.1</v>
      </c>
      <c r="K242" t="s">
        <v>136</v>
      </c>
      <c r="L242" t="s">
        <v>89</v>
      </c>
      <c r="M242" s="17">
        <v>3</v>
      </c>
    </row>
    <row r="243" spans="1:13">
      <c r="A243" t="s">
        <v>375</v>
      </c>
      <c r="B243" s="15">
        <v>45778</v>
      </c>
      <c r="C243" s="15">
        <v>45784</v>
      </c>
      <c r="E243" t="s">
        <v>92</v>
      </c>
      <c r="F243" t="s">
        <v>147</v>
      </c>
      <c r="G243" t="s">
        <v>125</v>
      </c>
      <c r="H243" t="s">
        <v>87</v>
      </c>
      <c r="I243" s="17">
        <v>3</v>
      </c>
      <c r="J243" s="16">
        <v>0</v>
      </c>
      <c r="K243" t="s">
        <v>136</v>
      </c>
      <c r="L243" t="s">
        <v>89</v>
      </c>
      <c r="M243" s="17">
        <v>5</v>
      </c>
    </row>
    <row r="244" spans="1:13">
      <c r="A244" t="s">
        <v>376</v>
      </c>
      <c r="B244" s="15">
        <v>45805</v>
      </c>
      <c r="C244" s="15">
        <v>45813</v>
      </c>
      <c r="D244" t="s">
        <v>132</v>
      </c>
      <c r="E244" t="s">
        <v>98</v>
      </c>
      <c r="F244" t="s">
        <v>107</v>
      </c>
      <c r="G244" t="s">
        <v>108</v>
      </c>
      <c r="H244" t="s">
        <v>103</v>
      </c>
      <c r="I244" s="17">
        <v>1</v>
      </c>
      <c r="J244" s="16">
        <v>0</v>
      </c>
      <c r="K244" t="s">
        <v>95</v>
      </c>
      <c r="L244" t="s">
        <v>89</v>
      </c>
      <c r="M244" s="17">
        <v>5</v>
      </c>
    </row>
    <row r="245" spans="1:13">
      <c r="A245" t="s">
        <v>377</v>
      </c>
      <c r="B245" s="15">
        <v>45900</v>
      </c>
      <c r="C245" s="15">
        <v>45903</v>
      </c>
      <c r="D245" t="s">
        <v>135</v>
      </c>
      <c r="E245" t="s">
        <v>101</v>
      </c>
      <c r="F245" t="s">
        <v>138</v>
      </c>
      <c r="G245" t="s">
        <v>108</v>
      </c>
      <c r="H245" t="s">
        <v>86</v>
      </c>
      <c r="I245" s="17">
        <v>1</v>
      </c>
      <c r="J245" s="16">
        <v>0.1</v>
      </c>
      <c r="K245" t="s">
        <v>136</v>
      </c>
      <c r="L245" t="s">
        <v>89</v>
      </c>
      <c r="M245" s="17">
        <v>3</v>
      </c>
    </row>
    <row r="246" spans="1:13">
      <c r="A246" t="s">
        <v>378</v>
      </c>
      <c r="B246" s="15">
        <v>45886</v>
      </c>
      <c r="C246" s="15">
        <v>45893</v>
      </c>
      <c r="D246" t="s">
        <v>123</v>
      </c>
      <c r="E246" t="s">
        <v>106</v>
      </c>
      <c r="F246" t="s">
        <v>102</v>
      </c>
      <c r="G246" t="s">
        <v>108</v>
      </c>
      <c r="H246" t="s">
        <v>86</v>
      </c>
      <c r="I246" s="17">
        <v>3</v>
      </c>
      <c r="J246" s="16">
        <v>0</v>
      </c>
      <c r="K246" t="s">
        <v>136</v>
      </c>
      <c r="L246" t="s">
        <v>89</v>
      </c>
      <c r="M246" s="17">
        <v>3</v>
      </c>
    </row>
    <row r="247" spans="1:13">
      <c r="A247" t="s">
        <v>379</v>
      </c>
      <c r="B247" s="15">
        <v>45857</v>
      </c>
      <c r="C247" s="15">
        <v>45860</v>
      </c>
      <c r="D247" t="s">
        <v>128</v>
      </c>
      <c r="E247" t="s">
        <v>111</v>
      </c>
      <c r="F247" t="s">
        <v>138</v>
      </c>
      <c r="G247" t="s">
        <v>86</v>
      </c>
      <c r="H247" t="s">
        <v>86</v>
      </c>
      <c r="I247" s="17">
        <v>3</v>
      </c>
      <c r="J247" s="16">
        <v>0</v>
      </c>
      <c r="K247" t="s">
        <v>136</v>
      </c>
      <c r="L247" t="s">
        <v>89</v>
      </c>
      <c r="M247" s="17">
        <v>3</v>
      </c>
    </row>
    <row r="248" spans="1:13">
      <c r="A248" t="s">
        <v>380</v>
      </c>
      <c r="B248" s="15">
        <v>46014</v>
      </c>
      <c r="C248" s="15">
        <v>46021</v>
      </c>
      <c r="D248" t="s">
        <v>130</v>
      </c>
      <c r="E248" t="s">
        <v>84</v>
      </c>
      <c r="F248" t="s">
        <v>115</v>
      </c>
      <c r="G248" t="s">
        <v>125</v>
      </c>
      <c r="H248" t="s">
        <v>86</v>
      </c>
      <c r="I248" s="17">
        <v>3</v>
      </c>
      <c r="J248" s="16">
        <v>0.1</v>
      </c>
      <c r="K248" t="s">
        <v>95</v>
      </c>
      <c r="L248" t="s">
        <v>89</v>
      </c>
      <c r="M248" s="17">
        <v>4</v>
      </c>
    </row>
    <row r="249" spans="1:13">
      <c r="A249" t="s">
        <v>381</v>
      </c>
      <c r="B249" s="15">
        <v>45760</v>
      </c>
      <c r="C249" s="15">
        <v>45763</v>
      </c>
      <c r="D249" t="s">
        <v>97</v>
      </c>
      <c r="E249" t="s">
        <v>92</v>
      </c>
      <c r="F249" t="s">
        <v>115</v>
      </c>
      <c r="G249" t="s">
        <v>108</v>
      </c>
      <c r="H249" t="s">
        <v>103</v>
      </c>
      <c r="I249" s="17">
        <v>5</v>
      </c>
      <c r="J249" s="16">
        <v>0.2</v>
      </c>
      <c r="K249" t="s">
        <v>136</v>
      </c>
      <c r="L249" t="s">
        <v>89</v>
      </c>
      <c r="M249" s="17">
        <v>5</v>
      </c>
    </row>
    <row r="250" spans="1:13">
      <c r="A250" t="s">
        <v>382</v>
      </c>
      <c r="B250" s="15">
        <v>45714</v>
      </c>
      <c r="C250" s="15">
        <v>45720</v>
      </c>
      <c r="D250" t="s">
        <v>100</v>
      </c>
      <c r="E250" t="s">
        <v>98</v>
      </c>
      <c r="F250" t="s">
        <v>93</v>
      </c>
      <c r="G250" t="s">
        <v>125</v>
      </c>
      <c r="H250" t="s">
        <v>103</v>
      </c>
      <c r="I250" s="17">
        <v>1</v>
      </c>
      <c r="J250" s="16">
        <v>0.15</v>
      </c>
      <c r="K250" t="s">
        <v>140</v>
      </c>
      <c r="L250" t="s">
        <v>89</v>
      </c>
      <c r="M250" s="17">
        <v>4</v>
      </c>
    </row>
    <row r="251" spans="1:13">
      <c r="A251" t="s">
        <v>383</v>
      </c>
      <c r="B251" s="15">
        <v>45776</v>
      </c>
      <c r="C251" s="15">
        <v>45778</v>
      </c>
      <c r="D251" t="s">
        <v>105</v>
      </c>
      <c r="E251" t="s">
        <v>101</v>
      </c>
      <c r="F251" t="s">
        <v>85</v>
      </c>
      <c r="G251" t="s">
        <v>86</v>
      </c>
      <c r="H251" t="s">
        <v>103</v>
      </c>
      <c r="I251" s="17">
        <v>5</v>
      </c>
      <c r="J251" s="16">
        <v>0</v>
      </c>
      <c r="K251" t="s">
        <v>95</v>
      </c>
      <c r="L251" t="s">
        <v>89</v>
      </c>
      <c r="M251" s="17">
        <v>5</v>
      </c>
    </row>
    <row r="252" spans="1:13">
      <c r="A252" t="s">
        <v>384</v>
      </c>
      <c r="B252" s="15">
        <v>45788</v>
      </c>
      <c r="C252" s="15">
        <v>45791</v>
      </c>
      <c r="D252" t="s">
        <v>110</v>
      </c>
      <c r="E252" t="s">
        <v>106</v>
      </c>
      <c r="F252" t="s">
        <v>93</v>
      </c>
      <c r="G252" t="s">
        <v>125</v>
      </c>
      <c r="H252" t="s">
        <v>103</v>
      </c>
      <c r="I252" s="17">
        <v>1</v>
      </c>
      <c r="J252" s="16">
        <v>0</v>
      </c>
      <c r="K252" t="s">
        <v>95</v>
      </c>
      <c r="L252" t="s">
        <v>89</v>
      </c>
      <c r="M252" s="17">
        <v>3</v>
      </c>
    </row>
    <row r="253" spans="1:13">
      <c r="A253" t="s">
        <v>385</v>
      </c>
      <c r="B253" s="15">
        <v>45995</v>
      </c>
      <c r="C253" s="15">
        <v>46003</v>
      </c>
      <c r="D253" t="s">
        <v>130</v>
      </c>
      <c r="E253" t="s">
        <v>111</v>
      </c>
      <c r="F253" t="s">
        <v>154</v>
      </c>
      <c r="G253" t="s">
        <v>108</v>
      </c>
      <c r="H253" t="s">
        <v>86</v>
      </c>
      <c r="I253" s="17">
        <v>2</v>
      </c>
      <c r="J253" s="16">
        <v>0</v>
      </c>
      <c r="K253" t="s">
        <v>119</v>
      </c>
      <c r="L253" t="s">
        <v>89</v>
      </c>
      <c r="M253" s="17">
        <v>4</v>
      </c>
    </row>
    <row r="254" spans="1:13">
      <c r="A254" t="s">
        <v>386</v>
      </c>
      <c r="B254" s="15">
        <v>45878</v>
      </c>
      <c r="C254" s="15">
        <v>45884</v>
      </c>
      <c r="D254" t="s">
        <v>97</v>
      </c>
      <c r="E254" t="s">
        <v>84</v>
      </c>
      <c r="F254" t="s">
        <v>147</v>
      </c>
      <c r="G254" t="s">
        <v>94</v>
      </c>
      <c r="H254" t="s">
        <v>87</v>
      </c>
      <c r="I254" s="17">
        <v>2</v>
      </c>
      <c r="J254" s="16">
        <v>0.05</v>
      </c>
      <c r="K254" t="s">
        <v>88</v>
      </c>
      <c r="L254" t="s">
        <v>89</v>
      </c>
      <c r="M254" s="17">
        <v>3</v>
      </c>
    </row>
    <row r="255" spans="1:13">
      <c r="A255" t="s">
        <v>387</v>
      </c>
      <c r="B255" s="15">
        <v>45730</v>
      </c>
      <c r="C255" s="15">
        <v>45732</v>
      </c>
      <c r="D255" t="s">
        <v>212</v>
      </c>
      <c r="E255" t="s">
        <v>92</v>
      </c>
      <c r="F255" t="s">
        <v>115</v>
      </c>
      <c r="G255" t="s">
        <v>94</v>
      </c>
      <c r="H255" t="s">
        <v>103</v>
      </c>
      <c r="I255" s="17">
        <v>3</v>
      </c>
      <c r="J255" s="16">
        <v>0.15</v>
      </c>
      <c r="K255" t="s">
        <v>140</v>
      </c>
      <c r="L255" t="s">
        <v>89</v>
      </c>
      <c r="M255" s="17">
        <v>5</v>
      </c>
    </row>
    <row r="256" spans="1:13">
      <c r="A256" t="s">
        <v>388</v>
      </c>
      <c r="B256" s="15">
        <v>45946</v>
      </c>
      <c r="C256" s="15">
        <v>45948</v>
      </c>
      <c r="D256" t="s">
        <v>123</v>
      </c>
      <c r="E256" t="s">
        <v>98</v>
      </c>
      <c r="F256" t="s">
        <v>93</v>
      </c>
      <c r="G256" t="s">
        <v>108</v>
      </c>
      <c r="H256" t="s">
        <v>87</v>
      </c>
      <c r="I256" s="17">
        <v>3</v>
      </c>
      <c r="J256" s="16">
        <v>0.1</v>
      </c>
      <c r="K256" t="s">
        <v>88</v>
      </c>
      <c r="L256" t="s">
        <v>89</v>
      </c>
      <c r="M256" s="17">
        <v>4</v>
      </c>
    </row>
    <row r="257" spans="1:13">
      <c r="A257" t="s">
        <v>389</v>
      </c>
      <c r="B257" s="15">
        <v>45691</v>
      </c>
      <c r="C257" s="15">
        <v>45695</v>
      </c>
      <c r="D257" t="s">
        <v>128</v>
      </c>
      <c r="E257" t="s">
        <v>101</v>
      </c>
      <c r="F257" t="s">
        <v>124</v>
      </c>
      <c r="G257" t="s">
        <v>125</v>
      </c>
      <c r="H257" t="s">
        <v>86</v>
      </c>
      <c r="I257" s="17">
        <v>5</v>
      </c>
      <c r="J257" s="16">
        <v>0.05</v>
      </c>
      <c r="K257" t="s">
        <v>112</v>
      </c>
      <c r="L257" t="s">
        <v>126</v>
      </c>
      <c r="M257" s="17">
        <v>1</v>
      </c>
    </row>
    <row r="258" spans="1:13">
      <c r="A258" t="s">
        <v>390</v>
      </c>
      <c r="B258" s="15">
        <v>45675</v>
      </c>
      <c r="C258" s="15">
        <v>45679</v>
      </c>
      <c r="D258" t="s">
        <v>130</v>
      </c>
      <c r="E258" t="s">
        <v>106</v>
      </c>
      <c r="F258" t="s">
        <v>138</v>
      </c>
      <c r="G258" t="s">
        <v>125</v>
      </c>
      <c r="H258" t="s">
        <v>103</v>
      </c>
      <c r="I258" s="17">
        <v>5</v>
      </c>
      <c r="J258" s="16">
        <v>0.1</v>
      </c>
      <c r="K258" t="s">
        <v>116</v>
      </c>
      <c r="L258" t="s">
        <v>89</v>
      </c>
      <c r="M258" s="17">
        <v>4</v>
      </c>
    </row>
    <row r="259" spans="1:13">
      <c r="A259" t="s">
        <v>391</v>
      </c>
      <c r="B259" s="15">
        <v>45938</v>
      </c>
      <c r="C259" s="15">
        <v>45946</v>
      </c>
      <c r="D259" t="s">
        <v>97</v>
      </c>
      <c r="E259" t="s">
        <v>111</v>
      </c>
      <c r="F259" t="s">
        <v>107</v>
      </c>
      <c r="G259" t="s">
        <v>108</v>
      </c>
      <c r="H259" t="s">
        <v>86</v>
      </c>
      <c r="I259" s="17">
        <v>1</v>
      </c>
      <c r="J259" s="16">
        <v>0.2</v>
      </c>
      <c r="K259" t="s">
        <v>140</v>
      </c>
      <c r="L259" t="s">
        <v>89</v>
      </c>
      <c r="M259" s="17">
        <v>5</v>
      </c>
    </row>
    <row r="260" spans="1:13">
      <c r="A260" t="s">
        <v>392</v>
      </c>
      <c r="B260" s="15">
        <v>45815</v>
      </c>
      <c r="C260" s="15">
        <v>45819</v>
      </c>
      <c r="D260" t="s">
        <v>100</v>
      </c>
      <c r="E260" t="s">
        <v>84</v>
      </c>
      <c r="F260" t="s">
        <v>121</v>
      </c>
      <c r="G260" t="s">
        <v>94</v>
      </c>
      <c r="H260" t="s">
        <v>86</v>
      </c>
      <c r="I260" s="17">
        <v>5</v>
      </c>
      <c r="J260" s="16">
        <v>0.05</v>
      </c>
      <c r="K260" t="s">
        <v>112</v>
      </c>
      <c r="L260" t="s">
        <v>126</v>
      </c>
      <c r="M260" s="17">
        <v>1</v>
      </c>
    </row>
    <row r="261" spans="1:13">
      <c r="A261" t="s">
        <v>393</v>
      </c>
      <c r="B261" s="15">
        <v>45902</v>
      </c>
      <c r="C261" s="15">
        <v>45906</v>
      </c>
      <c r="D261" t="s">
        <v>166</v>
      </c>
      <c r="E261" t="s">
        <v>92</v>
      </c>
      <c r="F261" t="s">
        <v>147</v>
      </c>
      <c r="G261" t="s">
        <v>125</v>
      </c>
      <c r="H261" t="s">
        <v>103</v>
      </c>
      <c r="I261" s="17">
        <v>2</v>
      </c>
      <c r="J261" s="16">
        <v>0.05</v>
      </c>
      <c r="K261" t="s">
        <v>88</v>
      </c>
      <c r="L261" t="s">
        <v>89</v>
      </c>
      <c r="M261" s="17">
        <v>4</v>
      </c>
    </row>
    <row r="262" spans="1:13">
      <c r="A262" t="s">
        <v>394</v>
      </c>
      <c r="B262" s="15">
        <v>46022</v>
      </c>
      <c r="C262" s="15">
        <v>46028</v>
      </c>
      <c r="D262" t="s">
        <v>110</v>
      </c>
      <c r="E262" t="s">
        <v>98</v>
      </c>
      <c r="F262" t="s">
        <v>102</v>
      </c>
      <c r="G262" t="s">
        <v>125</v>
      </c>
      <c r="H262" t="s">
        <v>103</v>
      </c>
      <c r="I262" s="17">
        <v>1</v>
      </c>
      <c r="J262" s="16">
        <v>0</v>
      </c>
      <c r="K262" t="s">
        <v>140</v>
      </c>
      <c r="L262" t="s">
        <v>89</v>
      </c>
      <c r="M262" s="17">
        <v>5</v>
      </c>
    </row>
    <row r="263" spans="1:13">
      <c r="A263" t="s">
        <v>395</v>
      </c>
      <c r="B263" s="15">
        <v>45742</v>
      </c>
      <c r="C263" s="15">
        <v>45750</v>
      </c>
      <c r="D263" t="s">
        <v>91</v>
      </c>
      <c r="E263" t="s">
        <v>101</v>
      </c>
      <c r="F263" t="s">
        <v>154</v>
      </c>
      <c r="G263" t="s">
        <v>108</v>
      </c>
      <c r="H263" t="s">
        <v>87</v>
      </c>
      <c r="I263" s="17">
        <v>1</v>
      </c>
      <c r="J263" s="16">
        <v>0.1</v>
      </c>
      <c r="K263" t="s">
        <v>112</v>
      </c>
      <c r="L263" t="s">
        <v>89</v>
      </c>
      <c r="M263" s="17">
        <v>5</v>
      </c>
    </row>
    <row r="264" spans="1:13">
      <c r="A264" t="s">
        <v>396</v>
      </c>
      <c r="B264" s="15">
        <v>46011</v>
      </c>
      <c r="C264" s="15">
        <v>46016</v>
      </c>
      <c r="D264" t="s">
        <v>132</v>
      </c>
      <c r="E264" t="s">
        <v>106</v>
      </c>
      <c r="F264" t="s">
        <v>118</v>
      </c>
      <c r="G264" t="s">
        <v>86</v>
      </c>
      <c r="H264" t="s">
        <v>86</v>
      </c>
      <c r="I264" s="17">
        <v>4</v>
      </c>
      <c r="J264" s="16">
        <v>0.2</v>
      </c>
      <c r="K264" t="s">
        <v>112</v>
      </c>
      <c r="L264" t="s">
        <v>89</v>
      </c>
      <c r="M264" s="17">
        <v>5</v>
      </c>
    </row>
    <row r="265" spans="1:13">
      <c r="A265" t="s">
        <v>397</v>
      </c>
      <c r="B265" s="15">
        <v>45696</v>
      </c>
      <c r="C265" s="15">
        <v>45702</v>
      </c>
      <c r="D265" t="s">
        <v>212</v>
      </c>
      <c r="E265" t="s">
        <v>111</v>
      </c>
      <c r="F265" t="s">
        <v>149</v>
      </c>
      <c r="G265" t="s">
        <v>108</v>
      </c>
      <c r="H265" t="s">
        <v>87</v>
      </c>
      <c r="I265" s="17">
        <v>2</v>
      </c>
      <c r="J265" s="16">
        <v>0</v>
      </c>
      <c r="K265" t="s">
        <v>116</v>
      </c>
      <c r="L265" t="s">
        <v>89</v>
      </c>
      <c r="M265" s="17">
        <v>5</v>
      </c>
    </row>
    <row r="266" spans="1:13">
      <c r="A266" t="s">
        <v>398</v>
      </c>
      <c r="B266" s="15">
        <v>45876</v>
      </c>
      <c r="C266" s="15">
        <v>45881</v>
      </c>
      <c r="D266" t="s">
        <v>105</v>
      </c>
      <c r="E266" t="s">
        <v>84</v>
      </c>
      <c r="F266" t="s">
        <v>154</v>
      </c>
      <c r="G266" t="s">
        <v>108</v>
      </c>
      <c r="H266" t="s">
        <v>103</v>
      </c>
      <c r="I266" s="17">
        <v>2</v>
      </c>
      <c r="J266" s="16">
        <v>0.05</v>
      </c>
      <c r="K266" t="s">
        <v>133</v>
      </c>
      <c r="L266" t="s">
        <v>89</v>
      </c>
      <c r="M266" s="17">
        <v>4</v>
      </c>
    </row>
    <row r="267" spans="1:13">
      <c r="A267" t="s">
        <v>399</v>
      </c>
      <c r="B267" s="15">
        <v>45742</v>
      </c>
      <c r="C267" s="15">
        <v>45750</v>
      </c>
      <c r="D267" t="s">
        <v>110</v>
      </c>
      <c r="E267" t="s">
        <v>92</v>
      </c>
      <c r="F267" t="s">
        <v>102</v>
      </c>
      <c r="G267" t="s">
        <v>94</v>
      </c>
      <c r="H267" t="s">
        <v>87</v>
      </c>
      <c r="I267" s="17">
        <v>3</v>
      </c>
      <c r="J267" s="16">
        <v>0</v>
      </c>
      <c r="K267" t="s">
        <v>119</v>
      </c>
      <c r="L267" t="s">
        <v>89</v>
      </c>
      <c r="M267" s="17">
        <v>5</v>
      </c>
    </row>
    <row r="268" spans="1:13">
      <c r="A268" t="s">
        <v>400</v>
      </c>
      <c r="B268" s="15">
        <v>45787</v>
      </c>
      <c r="C268" s="15">
        <v>45788</v>
      </c>
      <c r="D268" t="s">
        <v>114</v>
      </c>
      <c r="E268" t="s">
        <v>98</v>
      </c>
      <c r="F268" t="s">
        <v>154</v>
      </c>
      <c r="G268" t="s">
        <v>94</v>
      </c>
      <c r="H268" t="s">
        <v>87</v>
      </c>
      <c r="I268" s="17">
        <v>1</v>
      </c>
      <c r="J268" s="16">
        <v>0.1</v>
      </c>
      <c r="K268" t="s">
        <v>119</v>
      </c>
      <c r="L268" t="s">
        <v>89</v>
      </c>
      <c r="M268" s="17">
        <v>5</v>
      </c>
    </row>
    <row r="269" spans="1:13">
      <c r="A269" t="s">
        <v>401</v>
      </c>
      <c r="B269" s="15">
        <v>45820</v>
      </c>
      <c r="C269" s="15">
        <v>45823</v>
      </c>
      <c r="D269" t="s">
        <v>132</v>
      </c>
      <c r="E269" t="s">
        <v>101</v>
      </c>
      <c r="F269" t="s">
        <v>121</v>
      </c>
      <c r="G269" t="s">
        <v>108</v>
      </c>
      <c r="H269" t="s">
        <v>86</v>
      </c>
      <c r="I269" s="17">
        <v>4</v>
      </c>
      <c r="J269" s="16">
        <v>0</v>
      </c>
      <c r="K269" t="s">
        <v>95</v>
      </c>
      <c r="L269" t="s">
        <v>89</v>
      </c>
      <c r="M269" s="17">
        <v>5</v>
      </c>
    </row>
    <row r="270" spans="1:13">
      <c r="A270" t="s">
        <v>402</v>
      </c>
      <c r="B270" s="15">
        <v>45782</v>
      </c>
      <c r="C270" s="15">
        <v>45783</v>
      </c>
      <c r="D270" t="s">
        <v>212</v>
      </c>
      <c r="E270" t="s">
        <v>106</v>
      </c>
      <c r="F270" t="s">
        <v>115</v>
      </c>
      <c r="G270" t="s">
        <v>86</v>
      </c>
      <c r="H270" t="s">
        <v>86</v>
      </c>
      <c r="I270" s="17">
        <v>4</v>
      </c>
      <c r="J270" s="16">
        <v>0.1</v>
      </c>
      <c r="K270" t="s">
        <v>119</v>
      </c>
      <c r="L270" t="s">
        <v>89</v>
      </c>
      <c r="M270" s="17">
        <v>4</v>
      </c>
    </row>
    <row r="271" spans="1:13">
      <c r="A271" t="s">
        <v>403</v>
      </c>
      <c r="B271" s="15">
        <v>45933</v>
      </c>
      <c r="C271" s="15">
        <v>45939</v>
      </c>
      <c r="D271" t="s">
        <v>105</v>
      </c>
      <c r="E271" t="s">
        <v>111</v>
      </c>
      <c r="F271" t="s">
        <v>138</v>
      </c>
      <c r="G271" t="s">
        <v>125</v>
      </c>
      <c r="H271" t="s">
        <v>103</v>
      </c>
      <c r="I271" s="17">
        <v>4</v>
      </c>
      <c r="J271" s="16">
        <v>0.2</v>
      </c>
      <c r="K271" t="s">
        <v>95</v>
      </c>
      <c r="L271" t="s">
        <v>89</v>
      </c>
      <c r="M271" s="17">
        <v>5</v>
      </c>
    </row>
    <row r="272" spans="1:13">
      <c r="A272" t="s">
        <v>404</v>
      </c>
      <c r="B272" s="15">
        <v>45742</v>
      </c>
      <c r="C272" s="15">
        <v>45744</v>
      </c>
      <c r="D272" t="s">
        <v>83</v>
      </c>
      <c r="E272" t="s">
        <v>84</v>
      </c>
      <c r="F272" t="s">
        <v>102</v>
      </c>
      <c r="G272" t="s">
        <v>94</v>
      </c>
      <c r="H272" t="s">
        <v>86</v>
      </c>
      <c r="I272" s="17">
        <v>5</v>
      </c>
      <c r="J272" s="16">
        <v>0.2</v>
      </c>
      <c r="K272" t="s">
        <v>95</v>
      </c>
      <c r="L272" t="s">
        <v>89</v>
      </c>
      <c r="M272" s="17">
        <v>4</v>
      </c>
    </row>
    <row r="273" spans="1:13">
      <c r="A273" t="s">
        <v>405</v>
      </c>
      <c r="B273" s="15">
        <v>45873</v>
      </c>
      <c r="C273" s="15">
        <v>45879</v>
      </c>
      <c r="D273" t="s">
        <v>114</v>
      </c>
      <c r="E273" t="s">
        <v>92</v>
      </c>
      <c r="F273" t="s">
        <v>154</v>
      </c>
      <c r="G273" t="s">
        <v>86</v>
      </c>
      <c r="H273" t="s">
        <v>86</v>
      </c>
      <c r="I273" s="17">
        <v>2</v>
      </c>
      <c r="J273" s="16">
        <v>0</v>
      </c>
      <c r="K273" t="s">
        <v>140</v>
      </c>
      <c r="L273" t="s">
        <v>89</v>
      </c>
      <c r="M273" s="17">
        <v>5</v>
      </c>
    </row>
    <row r="274" spans="1:13">
      <c r="A274" t="s">
        <v>406</v>
      </c>
      <c r="B274" s="15">
        <v>45665</v>
      </c>
      <c r="C274" s="15">
        <v>45666</v>
      </c>
      <c r="D274" t="s">
        <v>132</v>
      </c>
      <c r="E274" t="s">
        <v>98</v>
      </c>
      <c r="F274" t="s">
        <v>115</v>
      </c>
      <c r="G274" t="s">
        <v>94</v>
      </c>
      <c r="H274" t="s">
        <v>103</v>
      </c>
      <c r="I274" s="17">
        <v>5</v>
      </c>
      <c r="J274" s="16">
        <v>0.2</v>
      </c>
      <c r="K274" t="s">
        <v>95</v>
      </c>
      <c r="L274" t="s">
        <v>89</v>
      </c>
      <c r="M274" s="17">
        <v>5</v>
      </c>
    </row>
    <row r="275" spans="1:13">
      <c r="A275" t="s">
        <v>407</v>
      </c>
      <c r="B275" s="15">
        <v>45993</v>
      </c>
      <c r="C275" s="15">
        <v>45998</v>
      </c>
      <c r="D275" t="s">
        <v>135</v>
      </c>
      <c r="E275" t="s">
        <v>101</v>
      </c>
      <c r="F275" t="s">
        <v>121</v>
      </c>
      <c r="G275" t="s">
        <v>108</v>
      </c>
      <c r="H275" t="s">
        <v>86</v>
      </c>
      <c r="I275" s="17">
        <v>1</v>
      </c>
      <c r="J275" s="16">
        <v>0.1</v>
      </c>
      <c r="K275" t="s">
        <v>140</v>
      </c>
      <c r="L275" t="s">
        <v>89</v>
      </c>
      <c r="M275" s="17">
        <v>3</v>
      </c>
    </row>
    <row r="276" spans="1:13">
      <c r="A276" t="s">
        <v>408</v>
      </c>
      <c r="B276" s="15">
        <v>46010</v>
      </c>
      <c r="C276" s="15">
        <v>46011</v>
      </c>
      <c r="D276" t="s">
        <v>123</v>
      </c>
      <c r="E276" t="s">
        <v>106</v>
      </c>
      <c r="F276" t="s">
        <v>124</v>
      </c>
      <c r="G276" t="s">
        <v>94</v>
      </c>
      <c r="H276" t="s">
        <v>103</v>
      </c>
      <c r="I276" s="17">
        <v>1</v>
      </c>
      <c r="J276" s="16">
        <v>0.2</v>
      </c>
      <c r="K276" t="s">
        <v>119</v>
      </c>
      <c r="L276" t="s">
        <v>89</v>
      </c>
      <c r="M276" s="17">
        <v>4</v>
      </c>
    </row>
    <row r="277" spans="1:13">
      <c r="A277" t="s">
        <v>409</v>
      </c>
      <c r="B277" s="15">
        <v>45754</v>
      </c>
      <c r="C277" s="15">
        <v>45757</v>
      </c>
      <c r="D277" t="s">
        <v>83</v>
      </c>
      <c r="E277" t="s">
        <v>111</v>
      </c>
      <c r="F277" t="s">
        <v>85</v>
      </c>
      <c r="G277" t="s">
        <v>108</v>
      </c>
      <c r="H277" t="s">
        <v>86</v>
      </c>
      <c r="I277" s="17">
        <v>4</v>
      </c>
      <c r="J277" s="16">
        <v>0.2</v>
      </c>
      <c r="K277" t="s">
        <v>119</v>
      </c>
      <c r="L277" t="s">
        <v>89</v>
      </c>
      <c r="M277" s="17">
        <v>5</v>
      </c>
    </row>
    <row r="278" spans="1:13">
      <c r="A278" t="s">
        <v>410</v>
      </c>
      <c r="B278" s="15">
        <v>45990</v>
      </c>
      <c r="C278" s="15">
        <v>45996</v>
      </c>
      <c r="D278" t="s">
        <v>91</v>
      </c>
      <c r="E278" t="s">
        <v>84</v>
      </c>
      <c r="F278" t="s">
        <v>124</v>
      </c>
      <c r="G278" t="s">
        <v>108</v>
      </c>
      <c r="H278" t="s">
        <v>87</v>
      </c>
      <c r="I278" s="17">
        <v>2</v>
      </c>
      <c r="J278" s="16">
        <v>0.15</v>
      </c>
      <c r="K278" t="s">
        <v>112</v>
      </c>
      <c r="L278" t="s">
        <v>89</v>
      </c>
      <c r="M278" s="17">
        <v>4</v>
      </c>
    </row>
    <row r="279" spans="1:13">
      <c r="A279" t="s">
        <v>411</v>
      </c>
      <c r="B279" s="15">
        <v>45979</v>
      </c>
      <c r="C279" s="15">
        <v>45981</v>
      </c>
      <c r="D279" t="s">
        <v>97</v>
      </c>
      <c r="E279" t="s">
        <v>92</v>
      </c>
      <c r="F279" t="s">
        <v>154</v>
      </c>
      <c r="G279" t="s">
        <v>94</v>
      </c>
      <c r="H279" t="s">
        <v>87</v>
      </c>
      <c r="I279" s="17">
        <v>1</v>
      </c>
      <c r="J279" s="16">
        <v>0.05</v>
      </c>
      <c r="K279" t="s">
        <v>133</v>
      </c>
      <c r="L279" t="s">
        <v>89</v>
      </c>
      <c r="M279" s="17">
        <v>3</v>
      </c>
    </row>
    <row r="280" spans="1:13">
      <c r="A280" t="s">
        <v>412</v>
      </c>
      <c r="B280" s="15">
        <v>45783</v>
      </c>
      <c r="C280" s="15">
        <v>45789</v>
      </c>
      <c r="D280" t="s">
        <v>135</v>
      </c>
      <c r="E280" t="s">
        <v>98</v>
      </c>
      <c r="F280" t="s">
        <v>85</v>
      </c>
      <c r="G280" t="s">
        <v>86</v>
      </c>
      <c r="H280" t="s">
        <v>103</v>
      </c>
      <c r="I280" s="17">
        <v>2</v>
      </c>
      <c r="J280" s="16">
        <v>0</v>
      </c>
      <c r="K280" t="s">
        <v>88</v>
      </c>
      <c r="L280" t="s">
        <v>89</v>
      </c>
      <c r="M280" s="17">
        <v>4</v>
      </c>
    </row>
    <row r="281" spans="1:13">
      <c r="A281" t="s">
        <v>413</v>
      </c>
      <c r="B281" s="15">
        <v>45846</v>
      </c>
      <c r="C281" s="15">
        <v>45852</v>
      </c>
      <c r="D281" t="s">
        <v>166</v>
      </c>
      <c r="E281" t="s">
        <v>101</v>
      </c>
      <c r="F281" t="s">
        <v>147</v>
      </c>
      <c r="G281" t="s">
        <v>86</v>
      </c>
      <c r="H281" t="s">
        <v>86</v>
      </c>
      <c r="I281" s="17">
        <v>1</v>
      </c>
      <c r="J281" s="16">
        <v>0.2</v>
      </c>
      <c r="K281" t="s">
        <v>119</v>
      </c>
      <c r="L281" t="s">
        <v>89</v>
      </c>
      <c r="M281" s="17">
        <v>5</v>
      </c>
    </row>
    <row r="282" spans="1:13">
      <c r="A282" t="s">
        <v>414</v>
      </c>
      <c r="B282" s="15">
        <v>45799</v>
      </c>
      <c r="C282" s="15">
        <v>45803</v>
      </c>
      <c r="D282" t="s">
        <v>146</v>
      </c>
      <c r="E282" t="s">
        <v>106</v>
      </c>
      <c r="F282" t="s">
        <v>121</v>
      </c>
      <c r="G282" t="s">
        <v>94</v>
      </c>
      <c r="H282" t="s">
        <v>87</v>
      </c>
      <c r="I282" s="17">
        <v>5</v>
      </c>
      <c r="J282" s="16">
        <v>0</v>
      </c>
      <c r="K282" t="s">
        <v>119</v>
      </c>
      <c r="L282" t="s">
        <v>89</v>
      </c>
      <c r="M282" s="17">
        <v>4</v>
      </c>
    </row>
    <row r="283" spans="1:13">
      <c r="A283" t="s">
        <v>415</v>
      </c>
      <c r="B283" s="15">
        <v>45762</v>
      </c>
      <c r="C283" s="15">
        <v>45769</v>
      </c>
      <c r="D283" t="s">
        <v>91</v>
      </c>
      <c r="E283" t="s">
        <v>111</v>
      </c>
      <c r="F283" t="s">
        <v>115</v>
      </c>
      <c r="G283" t="s">
        <v>94</v>
      </c>
      <c r="H283" t="s">
        <v>103</v>
      </c>
      <c r="I283" s="17">
        <v>1</v>
      </c>
      <c r="J283" s="16">
        <v>0.1</v>
      </c>
      <c r="K283" t="s">
        <v>88</v>
      </c>
      <c r="L283" t="s">
        <v>126</v>
      </c>
      <c r="M283" s="17">
        <v>2</v>
      </c>
    </row>
    <row r="284" spans="1:13">
      <c r="A284" t="s">
        <v>416</v>
      </c>
      <c r="B284" s="15">
        <v>45774</v>
      </c>
      <c r="C284" s="15">
        <v>45777</v>
      </c>
      <c r="D284" t="s">
        <v>132</v>
      </c>
      <c r="E284" t="s">
        <v>84</v>
      </c>
      <c r="F284" t="s">
        <v>107</v>
      </c>
      <c r="G284" t="s">
        <v>125</v>
      </c>
      <c r="H284" t="s">
        <v>86</v>
      </c>
      <c r="I284" s="17">
        <v>3</v>
      </c>
      <c r="J284" s="16">
        <v>0.05</v>
      </c>
      <c r="K284" t="s">
        <v>88</v>
      </c>
      <c r="L284" t="s">
        <v>89</v>
      </c>
      <c r="M284" s="17">
        <v>5</v>
      </c>
    </row>
    <row r="285" spans="1:13">
      <c r="A285" t="s">
        <v>417</v>
      </c>
      <c r="B285" s="15">
        <v>45955</v>
      </c>
      <c r="C285" s="15">
        <v>45960</v>
      </c>
      <c r="D285" t="s">
        <v>212</v>
      </c>
      <c r="E285" t="s">
        <v>92</v>
      </c>
      <c r="F285" t="s">
        <v>190</v>
      </c>
      <c r="G285" t="s">
        <v>94</v>
      </c>
      <c r="H285" t="s">
        <v>86</v>
      </c>
      <c r="I285" s="17">
        <v>2</v>
      </c>
      <c r="J285" s="16">
        <v>0.2</v>
      </c>
      <c r="K285" t="s">
        <v>88</v>
      </c>
      <c r="L285" t="s">
        <v>89</v>
      </c>
      <c r="M285" s="17">
        <v>5</v>
      </c>
    </row>
    <row r="286" spans="1:13">
      <c r="A286" t="s">
        <v>418</v>
      </c>
      <c r="B286" s="15">
        <v>45843</v>
      </c>
      <c r="C286" s="15">
        <v>45848</v>
      </c>
      <c r="D286" t="s">
        <v>123</v>
      </c>
      <c r="E286" t="s">
        <v>98</v>
      </c>
      <c r="F286" t="s">
        <v>138</v>
      </c>
      <c r="G286" t="s">
        <v>86</v>
      </c>
      <c r="H286" t="s">
        <v>103</v>
      </c>
      <c r="I286" s="17">
        <v>4</v>
      </c>
      <c r="J286" s="16">
        <v>0.2</v>
      </c>
      <c r="K286" t="s">
        <v>112</v>
      </c>
      <c r="L286" t="s">
        <v>89</v>
      </c>
      <c r="M286" s="17">
        <v>5</v>
      </c>
    </row>
    <row r="287" spans="1:13">
      <c r="A287" t="s">
        <v>419</v>
      </c>
      <c r="B287" s="15">
        <v>45975</v>
      </c>
      <c r="C287" s="15">
        <v>45978</v>
      </c>
      <c r="D287" t="s">
        <v>83</v>
      </c>
      <c r="E287" t="s">
        <v>101</v>
      </c>
      <c r="F287" t="s">
        <v>107</v>
      </c>
      <c r="G287" t="s">
        <v>108</v>
      </c>
      <c r="H287" t="s">
        <v>87</v>
      </c>
      <c r="I287" s="17">
        <v>5</v>
      </c>
      <c r="J287" s="16">
        <v>0.05</v>
      </c>
      <c r="K287" t="s">
        <v>112</v>
      </c>
      <c r="L287" t="s">
        <v>89</v>
      </c>
      <c r="M287" s="17">
        <v>3</v>
      </c>
    </row>
    <row r="288" spans="1:13">
      <c r="A288" t="s">
        <v>420</v>
      </c>
      <c r="B288" s="15">
        <v>45807</v>
      </c>
      <c r="C288" s="15">
        <v>45809</v>
      </c>
      <c r="D288" t="s">
        <v>91</v>
      </c>
      <c r="E288" t="s">
        <v>106</v>
      </c>
      <c r="F288" t="s">
        <v>115</v>
      </c>
      <c r="G288" t="s">
        <v>86</v>
      </c>
      <c r="H288" t="s">
        <v>86</v>
      </c>
      <c r="I288" s="17">
        <v>4</v>
      </c>
      <c r="J288" s="16">
        <v>0</v>
      </c>
      <c r="K288" t="s">
        <v>140</v>
      </c>
      <c r="L288" t="s">
        <v>126</v>
      </c>
      <c r="M288" s="17">
        <v>2</v>
      </c>
    </row>
    <row r="289" spans="1:13">
      <c r="A289" t="s">
        <v>421</v>
      </c>
      <c r="B289" s="15">
        <v>45661</v>
      </c>
      <c r="C289" s="15">
        <v>45662</v>
      </c>
      <c r="D289" t="s">
        <v>132</v>
      </c>
      <c r="E289" t="s">
        <v>111</v>
      </c>
      <c r="F289" t="s">
        <v>149</v>
      </c>
      <c r="G289" t="s">
        <v>108</v>
      </c>
      <c r="H289" t="s">
        <v>103</v>
      </c>
      <c r="I289" s="17">
        <v>3</v>
      </c>
      <c r="J289" s="16">
        <v>0.2</v>
      </c>
      <c r="K289" t="s">
        <v>119</v>
      </c>
      <c r="L289" t="s">
        <v>89</v>
      </c>
      <c r="M289" s="17">
        <v>4</v>
      </c>
    </row>
    <row r="290" spans="1:13">
      <c r="A290" t="s">
        <v>422</v>
      </c>
      <c r="B290" s="15">
        <v>45754</v>
      </c>
      <c r="C290" s="15">
        <v>45755</v>
      </c>
      <c r="D290" t="s">
        <v>212</v>
      </c>
      <c r="E290" t="s">
        <v>84</v>
      </c>
      <c r="F290" t="s">
        <v>85</v>
      </c>
      <c r="G290" t="s">
        <v>125</v>
      </c>
      <c r="H290" t="s">
        <v>103</v>
      </c>
      <c r="I290" s="17">
        <v>4</v>
      </c>
      <c r="J290" s="16">
        <v>0</v>
      </c>
      <c r="K290" t="s">
        <v>95</v>
      </c>
      <c r="L290" t="s">
        <v>89</v>
      </c>
      <c r="M290" s="17">
        <v>4</v>
      </c>
    </row>
    <row r="291" spans="1:13">
      <c r="A291" t="s">
        <v>423</v>
      </c>
      <c r="B291" s="15">
        <v>45740</v>
      </c>
      <c r="C291" s="15">
        <v>45742</v>
      </c>
      <c r="D291" t="s">
        <v>123</v>
      </c>
      <c r="E291" t="s">
        <v>92</v>
      </c>
      <c r="F291" t="s">
        <v>124</v>
      </c>
      <c r="G291" t="s">
        <v>86</v>
      </c>
      <c r="H291" t="s">
        <v>103</v>
      </c>
      <c r="I291" s="17">
        <v>3</v>
      </c>
      <c r="J291" s="16">
        <v>0.05</v>
      </c>
      <c r="K291" t="s">
        <v>119</v>
      </c>
      <c r="L291" t="s">
        <v>89</v>
      </c>
      <c r="M291" s="17">
        <v>5</v>
      </c>
    </row>
    <row r="292" spans="1:13">
      <c r="A292" t="s">
        <v>424</v>
      </c>
      <c r="B292" s="15">
        <v>45879</v>
      </c>
      <c r="C292" s="15">
        <v>45882</v>
      </c>
      <c r="D292" t="s">
        <v>146</v>
      </c>
      <c r="E292" t="s">
        <v>98</v>
      </c>
      <c r="F292" t="s">
        <v>138</v>
      </c>
      <c r="G292" t="s">
        <v>86</v>
      </c>
      <c r="H292" t="s">
        <v>103</v>
      </c>
      <c r="I292" s="17">
        <v>2</v>
      </c>
      <c r="J292" s="16">
        <v>0.1</v>
      </c>
      <c r="K292" t="s">
        <v>119</v>
      </c>
      <c r="L292" t="s">
        <v>89</v>
      </c>
      <c r="M292" s="17">
        <v>5</v>
      </c>
    </row>
    <row r="293" spans="1:13">
      <c r="A293" t="s">
        <v>425</v>
      </c>
      <c r="B293" s="15">
        <v>45916</v>
      </c>
      <c r="C293" s="15">
        <v>45920</v>
      </c>
      <c r="D293" t="s">
        <v>130</v>
      </c>
      <c r="E293" t="s">
        <v>101</v>
      </c>
      <c r="F293" t="s">
        <v>118</v>
      </c>
      <c r="G293" t="s">
        <v>86</v>
      </c>
      <c r="H293" t="s">
        <v>87</v>
      </c>
      <c r="I293" s="17">
        <v>4</v>
      </c>
      <c r="J293" s="16">
        <v>0</v>
      </c>
      <c r="K293" t="s">
        <v>133</v>
      </c>
      <c r="L293" t="s">
        <v>89</v>
      </c>
      <c r="M293" s="17">
        <v>3</v>
      </c>
    </row>
    <row r="294" spans="1:13">
      <c r="A294" t="s">
        <v>426</v>
      </c>
      <c r="B294" s="15">
        <v>45838</v>
      </c>
      <c r="C294" s="15">
        <v>45842</v>
      </c>
      <c r="D294" t="s">
        <v>132</v>
      </c>
      <c r="E294" t="s">
        <v>106</v>
      </c>
      <c r="F294" t="s">
        <v>93</v>
      </c>
      <c r="G294" t="s">
        <v>86</v>
      </c>
      <c r="H294" t="s">
        <v>103</v>
      </c>
      <c r="I294" s="17">
        <v>4</v>
      </c>
      <c r="J294" s="16">
        <v>0.05</v>
      </c>
      <c r="K294" t="s">
        <v>112</v>
      </c>
      <c r="L294" t="s">
        <v>89</v>
      </c>
      <c r="M294" s="17">
        <v>3</v>
      </c>
    </row>
    <row r="295" spans="1:13">
      <c r="A295" t="s">
        <v>427</v>
      </c>
      <c r="B295" s="15">
        <v>45962</v>
      </c>
      <c r="C295" s="15">
        <v>45964</v>
      </c>
      <c r="D295" t="s">
        <v>164</v>
      </c>
      <c r="E295" t="s">
        <v>111</v>
      </c>
      <c r="F295" t="s">
        <v>115</v>
      </c>
      <c r="G295" t="s">
        <v>86</v>
      </c>
      <c r="H295" t="s">
        <v>86</v>
      </c>
      <c r="I295" s="17">
        <v>4</v>
      </c>
      <c r="J295" s="16">
        <v>0.1</v>
      </c>
      <c r="K295" t="s">
        <v>119</v>
      </c>
      <c r="L295" t="s">
        <v>89</v>
      </c>
      <c r="M295" s="17">
        <v>3</v>
      </c>
    </row>
    <row r="296" spans="1:13">
      <c r="A296" t="s">
        <v>428</v>
      </c>
      <c r="B296" s="15">
        <v>45993</v>
      </c>
      <c r="C296" s="15">
        <v>45999</v>
      </c>
      <c r="D296" t="s">
        <v>105</v>
      </c>
      <c r="E296" t="s">
        <v>84</v>
      </c>
      <c r="F296" t="s">
        <v>154</v>
      </c>
      <c r="G296" t="s">
        <v>125</v>
      </c>
      <c r="H296" t="s">
        <v>103</v>
      </c>
      <c r="I296" s="17">
        <v>1</v>
      </c>
      <c r="J296" s="16">
        <v>0.05</v>
      </c>
      <c r="K296" t="s">
        <v>88</v>
      </c>
      <c r="L296" t="s">
        <v>89</v>
      </c>
      <c r="M296" s="17">
        <v>5</v>
      </c>
    </row>
    <row r="297" spans="1:13">
      <c r="A297" t="s">
        <v>429</v>
      </c>
      <c r="B297" s="15">
        <v>45985</v>
      </c>
      <c r="C297" s="15">
        <v>45993</v>
      </c>
      <c r="D297" t="s">
        <v>83</v>
      </c>
      <c r="E297" t="s">
        <v>92</v>
      </c>
      <c r="F297" t="s">
        <v>147</v>
      </c>
      <c r="G297" t="s">
        <v>125</v>
      </c>
      <c r="H297" t="s">
        <v>87</v>
      </c>
      <c r="I297" s="17">
        <v>4</v>
      </c>
      <c r="J297" s="16">
        <v>0.15</v>
      </c>
      <c r="K297" t="s">
        <v>136</v>
      </c>
      <c r="L297" t="s">
        <v>89</v>
      </c>
      <c r="M297" s="17">
        <v>3</v>
      </c>
    </row>
    <row r="298" spans="1:13">
      <c r="A298" t="s">
        <v>430</v>
      </c>
      <c r="B298" s="15">
        <v>45909</v>
      </c>
      <c r="C298" s="15">
        <v>45913</v>
      </c>
      <c r="D298" t="s">
        <v>114</v>
      </c>
      <c r="E298" t="s">
        <v>98</v>
      </c>
      <c r="F298" t="s">
        <v>102</v>
      </c>
      <c r="G298" t="s">
        <v>94</v>
      </c>
      <c r="H298" t="s">
        <v>86</v>
      </c>
      <c r="I298" s="17">
        <v>2</v>
      </c>
      <c r="J298" s="16">
        <v>0</v>
      </c>
      <c r="K298" t="s">
        <v>133</v>
      </c>
      <c r="L298" t="s">
        <v>126</v>
      </c>
      <c r="M298" s="17">
        <v>3</v>
      </c>
    </row>
    <row r="299" spans="1:13">
      <c r="A299" t="s">
        <v>431</v>
      </c>
      <c r="B299" s="15">
        <v>45952</v>
      </c>
      <c r="C299" s="15">
        <v>45957</v>
      </c>
      <c r="D299" t="s">
        <v>132</v>
      </c>
      <c r="E299" t="s">
        <v>101</v>
      </c>
      <c r="F299" t="s">
        <v>85</v>
      </c>
      <c r="G299" t="s">
        <v>125</v>
      </c>
      <c r="H299" t="s">
        <v>103</v>
      </c>
      <c r="I299" s="17">
        <v>3</v>
      </c>
      <c r="J299" s="16">
        <v>0</v>
      </c>
      <c r="K299" t="s">
        <v>133</v>
      </c>
      <c r="L299" t="s">
        <v>89</v>
      </c>
      <c r="M299" s="17">
        <v>4</v>
      </c>
    </row>
    <row r="300" spans="1:13">
      <c r="A300" t="s">
        <v>432</v>
      </c>
      <c r="B300" s="15">
        <v>45979</v>
      </c>
      <c r="C300" s="15">
        <v>45987</v>
      </c>
      <c r="E300" t="s">
        <v>106</v>
      </c>
      <c r="F300" t="s">
        <v>85</v>
      </c>
      <c r="G300" t="s">
        <v>108</v>
      </c>
      <c r="H300" t="s">
        <v>103</v>
      </c>
      <c r="I300" s="17">
        <v>5</v>
      </c>
      <c r="J300" s="16">
        <v>0.1</v>
      </c>
      <c r="K300" t="s">
        <v>136</v>
      </c>
      <c r="L300" t="s">
        <v>89</v>
      </c>
      <c r="M300" s="17">
        <v>4</v>
      </c>
    </row>
    <row r="301" spans="1:13">
      <c r="A301" t="s">
        <v>433</v>
      </c>
      <c r="B301" s="15">
        <v>45949</v>
      </c>
      <c r="C301" s="15">
        <v>45955</v>
      </c>
      <c r="D301" t="s">
        <v>166</v>
      </c>
      <c r="E301" t="s">
        <v>111</v>
      </c>
      <c r="F301" t="s">
        <v>118</v>
      </c>
      <c r="G301" t="s">
        <v>94</v>
      </c>
      <c r="H301" t="s">
        <v>103</v>
      </c>
      <c r="I301" s="17">
        <v>1</v>
      </c>
      <c r="J301" s="16">
        <v>0.2</v>
      </c>
      <c r="K301" t="s">
        <v>140</v>
      </c>
      <c r="L301" t="s">
        <v>89</v>
      </c>
      <c r="M301" s="17">
        <v>4</v>
      </c>
    </row>
    <row r="302" spans="1:13">
      <c r="A302" t="s">
        <v>434</v>
      </c>
      <c r="B302" s="15">
        <v>45724</v>
      </c>
      <c r="C302" s="15">
        <v>45725</v>
      </c>
      <c r="D302" t="s">
        <v>83</v>
      </c>
      <c r="E302" t="s">
        <v>84</v>
      </c>
      <c r="F302" t="s">
        <v>115</v>
      </c>
      <c r="G302" t="s">
        <v>86</v>
      </c>
      <c r="H302" t="s">
        <v>87</v>
      </c>
      <c r="I302" s="17">
        <v>2</v>
      </c>
      <c r="J302" s="16">
        <v>0</v>
      </c>
      <c r="K302" t="s">
        <v>116</v>
      </c>
      <c r="L302" t="s">
        <v>89</v>
      </c>
      <c r="M302" s="17">
        <v>4</v>
      </c>
    </row>
    <row r="303" spans="1:13">
      <c r="A303" t="s">
        <v>435</v>
      </c>
      <c r="B303" s="15">
        <v>45665</v>
      </c>
      <c r="C303" s="15">
        <v>45666</v>
      </c>
      <c r="D303" t="s">
        <v>114</v>
      </c>
      <c r="E303" t="s">
        <v>92</v>
      </c>
      <c r="F303" t="s">
        <v>149</v>
      </c>
      <c r="G303" t="s">
        <v>94</v>
      </c>
      <c r="H303" t="s">
        <v>87</v>
      </c>
      <c r="I303" s="17">
        <v>4</v>
      </c>
      <c r="J303" s="16">
        <v>0</v>
      </c>
      <c r="K303" t="s">
        <v>116</v>
      </c>
      <c r="L303" t="s">
        <v>89</v>
      </c>
      <c r="M303" s="17">
        <v>4</v>
      </c>
    </row>
    <row r="304" spans="1:13">
      <c r="A304" t="s">
        <v>436</v>
      </c>
      <c r="B304" s="15">
        <v>45899</v>
      </c>
      <c r="C304" s="15">
        <v>45901</v>
      </c>
      <c r="D304" t="s">
        <v>157</v>
      </c>
      <c r="E304" t="s">
        <v>98</v>
      </c>
      <c r="F304" t="s">
        <v>102</v>
      </c>
      <c r="G304" t="s">
        <v>125</v>
      </c>
      <c r="H304" t="s">
        <v>87</v>
      </c>
      <c r="I304" s="17">
        <v>2</v>
      </c>
      <c r="J304" s="16">
        <v>0</v>
      </c>
      <c r="K304" t="s">
        <v>116</v>
      </c>
      <c r="L304" t="s">
        <v>89</v>
      </c>
      <c r="M304" s="17">
        <v>4</v>
      </c>
    </row>
    <row r="305" spans="1:13">
      <c r="A305" t="s">
        <v>437</v>
      </c>
      <c r="B305" s="15">
        <v>45771</v>
      </c>
      <c r="C305" s="15">
        <v>45773</v>
      </c>
      <c r="D305" t="s">
        <v>212</v>
      </c>
      <c r="E305" t="s">
        <v>101</v>
      </c>
      <c r="F305" t="s">
        <v>93</v>
      </c>
      <c r="G305" t="s">
        <v>125</v>
      </c>
      <c r="H305" t="s">
        <v>86</v>
      </c>
      <c r="I305" s="17">
        <v>4</v>
      </c>
      <c r="J305" s="16">
        <v>0.15</v>
      </c>
      <c r="K305" t="s">
        <v>95</v>
      </c>
      <c r="L305" t="s">
        <v>89</v>
      </c>
      <c r="M305" s="17">
        <v>5</v>
      </c>
    </row>
    <row r="306" spans="1:13">
      <c r="A306" t="s">
        <v>438</v>
      </c>
      <c r="B306" s="15">
        <v>45820</v>
      </c>
      <c r="C306" s="15">
        <v>45827</v>
      </c>
      <c r="D306" t="s">
        <v>166</v>
      </c>
      <c r="E306" t="s">
        <v>106</v>
      </c>
      <c r="F306" t="s">
        <v>121</v>
      </c>
      <c r="G306" t="s">
        <v>86</v>
      </c>
      <c r="H306" t="s">
        <v>86</v>
      </c>
      <c r="I306" s="17">
        <v>2</v>
      </c>
      <c r="J306" s="16">
        <v>0.2</v>
      </c>
      <c r="K306" t="s">
        <v>112</v>
      </c>
      <c r="L306" t="s">
        <v>89</v>
      </c>
      <c r="M306" s="17">
        <v>5</v>
      </c>
    </row>
    <row r="307" spans="1:13">
      <c r="A307" t="s">
        <v>439</v>
      </c>
      <c r="B307" s="15">
        <v>45864</v>
      </c>
      <c r="C307" s="15">
        <v>45866</v>
      </c>
      <c r="D307" t="s">
        <v>146</v>
      </c>
      <c r="E307" t="s">
        <v>111</v>
      </c>
      <c r="F307" t="s">
        <v>138</v>
      </c>
      <c r="G307" t="s">
        <v>86</v>
      </c>
      <c r="H307" t="s">
        <v>86</v>
      </c>
      <c r="I307" s="17">
        <v>1</v>
      </c>
      <c r="J307" s="16">
        <v>0</v>
      </c>
      <c r="K307" t="s">
        <v>133</v>
      </c>
      <c r="L307" t="s">
        <v>89</v>
      </c>
      <c r="M307" s="17">
        <v>5</v>
      </c>
    </row>
    <row r="308" spans="1:13">
      <c r="A308" t="s">
        <v>440</v>
      </c>
      <c r="B308" s="15">
        <v>45882</v>
      </c>
      <c r="C308" s="15">
        <v>45883</v>
      </c>
      <c r="D308" t="s">
        <v>91</v>
      </c>
      <c r="E308" t="s">
        <v>84</v>
      </c>
      <c r="F308" t="s">
        <v>115</v>
      </c>
      <c r="G308" t="s">
        <v>86</v>
      </c>
      <c r="H308" t="s">
        <v>87</v>
      </c>
      <c r="I308" s="17">
        <v>4</v>
      </c>
      <c r="J308" s="16">
        <v>0</v>
      </c>
      <c r="K308" t="s">
        <v>112</v>
      </c>
      <c r="L308" t="s">
        <v>89</v>
      </c>
      <c r="M308" s="17">
        <v>4</v>
      </c>
    </row>
    <row r="309" spans="1:13">
      <c r="A309" t="s">
        <v>441</v>
      </c>
      <c r="B309" s="15">
        <v>45861</v>
      </c>
      <c r="C309" s="15">
        <v>45867</v>
      </c>
      <c r="D309" t="s">
        <v>97</v>
      </c>
      <c r="E309" t="s">
        <v>92</v>
      </c>
      <c r="F309" t="s">
        <v>107</v>
      </c>
      <c r="G309" t="s">
        <v>94</v>
      </c>
      <c r="H309" t="s">
        <v>103</v>
      </c>
      <c r="I309" s="17">
        <v>5</v>
      </c>
      <c r="J309" s="16">
        <v>0.2</v>
      </c>
      <c r="K309" t="s">
        <v>133</v>
      </c>
      <c r="L309" t="s">
        <v>126</v>
      </c>
      <c r="M309" s="17">
        <v>1</v>
      </c>
    </row>
    <row r="310" spans="1:13">
      <c r="A310" t="s">
        <v>442</v>
      </c>
      <c r="B310" s="15">
        <v>45841</v>
      </c>
      <c r="C310" s="15">
        <v>45843</v>
      </c>
      <c r="D310" t="s">
        <v>212</v>
      </c>
      <c r="E310" t="s">
        <v>98</v>
      </c>
      <c r="F310" t="s">
        <v>93</v>
      </c>
      <c r="G310" t="s">
        <v>94</v>
      </c>
      <c r="H310" t="s">
        <v>86</v>
      </c>
      <c r="I310" s="17">
        <v>1</v>
      </c>
      <c r="J310" s="16">
        <v>0.05</v>
      </c>
      <c r="K310" t="s">
        <v>112</v>
      </c>
      <c r="L310" t="s">
        <v>89</v>
      </c>
      <c r="M310" s="17">
        <v>4</v>
      </c>
    </row>
    <row r="311" spans="1:13">
      <c r="A311" t="s">
        <v>443</v>
      </c>
      <c r="B311" s="15">
        <v>45891</v>
      </c>
      <c r="C311" s="15">
        <v>45899</v>
      </c>
      <c r="D311" t="s">
        <v>123</v>
      </c>
      <c r="E311" t="s">
        <v>101</v>
      </c>
      <c r="F311" t="s">
        <v>147</v>
      </c>
      <c r="G311" t="s">
        <v>108</v>
      </c>
      <c r="H311" t="s">
        <v>103</v>
      </c>
      <c r="I311" s="17">
        <v>4</v>
      </c>
      <c r="J311" s="16">
        <v>0.1</v>
      </c>
      <c r="K311" t="s">
        <v>112</v>
      </c>
      <c r="L311" t="s">
        <v>89</v>
      </c>
      <c r="M311" s="17">
        <v>5</v>
      </c>
    </row>
    <row r="312" spans="1:13">
      <c r="A312" t="s">
        <v>444</v>
      </c>
      <c r="B312" s="15">
        <v>45806</v>
      </c>
      <c r="C312" s="15">
        <v>45807</v>
      </c>
      <c r="D312" t="s">
        <v>83</v>
      </c>
      <c r="E312" t="s">
        <v>106</v>
      </c>
      <c r="F312" t="s">
        <v>115</v>
      </c>
      <c r="G312" t="s">
        <v>108</v>
      </c>
      <c r="H312" t="s">
        <v>87</v>
      </c>
      <c r="I312" s="17">
        <v>4</v>
      </c>
      <c r="J312" s="16">
        <v>0.15</v>
      </c>
      <c r="K312" t="s">
        <v>112</v>
      </c>
      <c r="L312" t="s">
        <v>89</v>
      </c>
      <c r="M312" s="17">
        <v>5</v>
      </c>
    </row>
    <row r="313" spans="1:13">
      <c r="A313" t="s">
        <v>445</v>
      </c>
      <c r="B313" s="15">
        <v>45782</v>
      </c>
      <c r="C313" s="15">
        <v>45786</v>
      </c>
      <c r="D313" t="s">
        <v>91</v>
      </c>
      <c r="E313" t="s">
        <v>111</v>
      </c>
      <c r="F313" t="s">
        <v>147</v>
      </c>
      <c r="G313" t="s">
        <v>108</v>
      </c>
      <c r="H313" t="s">
        <v>86</v>
      </c>
      <c r="I313" s="17">
        <v>5</v>
      </c>
      <c r="J313" s="16">
        <v>0.15</v>
      </c>
      <c r="K313" t="s">
        <v>116</v>
      </c>
      <c r="L313" t="s">
        <v>89</v>
      </c>
      <c r="M313" s="17">
        <v>5</v>
      </c>
    </row>
    <row r="314" spans="1:13">
      <c r="A314" t="s">
        <v>446</v>
      </c>
      <c r="B314" s="15">
        <v>45896</v>
      </c>
      <c r="C314" s="15">
        <v>45902</v>
      </c>
      <c r="D314" t="s">
        <v>157</v>
      </c>
      <c r="E314" t="s">
        <v>84</v>
      </c>
      <c r="F314" t="s">
        <v>138</v>
      </c>
      <c r="G314" t="s">
        <v>108</v>
      </c>
      <c r="H314" t="s">
        <v>103</v>
      </c>
      <c r="I314" s="17">
        <v>5</v>
      </c>
      <c r="J314" s="16">
        <v>0.2</v>
      </c>
      <c r="K314" t="s">
        <v>136</v>
      </c>
      <c r="L314" t="s">
        <v>89</v>
      </c>
      <c r="M314" s="17">
        <v>4</v>
      </c>
    </row>
    <row r="315" spans="1:13">
      <c r="A315" t="s">
        <v>447</v>
      </c>
      <c r="B315" s="15">
        <v>45798</v>
      </c>
      <c r="C315" s="15">
        <v>45804</v>
      </c>
      <c r="D315" t="s">
        <v>135</v>
      </c>
      <c r="E315" t="s">
        <v>92</v>
      </c>
      <c r="F315" t="s">
        <v>115</v>
      </c>
      <c r="G315" t="s">
        <v>94</v>
      </c>
      <c r="H315" t="s">
        <v>87</v>
      </c>
      <c r="I315" s="17">
        <v>4</v>
      </c>
      <c r="J315" s="16">
        <v>0.2</v>
      </c>
      <c r="K315" t="s">
        <v>133</v>
      </c>
      <c r="L315" t="s">
        <v>89</v>
      </c>
      <c r="M315" s="17">
        <v>3</v>
      </c>
    </row>
    <row r="316" spans="1:13">
      <c r="A316" t="s">
        <v>448</v>
      </c>
      <c r="B316" s="15">
        <v>45674</v>
      </c>
      <c r="C316" s="15">
        <v>45682</v>
      </c>
      <c r="D316" t="s">
        <v>123</v>
      </c>
      <c r="E316" t="s">
        <v>98</v>
      </c>
      <c r="F316" t="s">
        <v>118</v>
      </c>
      <c r="G316" t="s">
        <v>86</v>
      </c>
      <c r="H316" t="s">
        <v>86</v>
      </c>
      <c r="I316" s="17">
        <v>5</v>
      </c>
      <c r="J316" s="16">
        <v>0</v>
      </c>
      <c r="K316" t="s">
        <v>136</v>
      </c>
      <c r="L316" t="s">
        <v>89</v>
      </c>
      <c r="M316" s="17">
        <v>4</v>
      </c>
    </row>
    <row r="317" spans="1:13">
      <c r="A317" t="s">
        <v>449</v>
      </c>
      <c r="B317" s="15">
        <v>45853</v>
      </c>
      <c r="C317" s="15">
        <v>45860</v>
      </c>
      <c r="D317" t="s">
        <v>83</v>
      </c>
      <c r="E317" t="s">
        <v>101</v>
      </c>
      <c r="F317" t="s">
        <v>147</v>
      </c>
      <c r="G317" t="s">
        <v>94</v>
      </c>
      <c r="H317" t="s">
        <v>86</v>
      </c>
      <c r="I317" s="17">
        <v>5</v>
      </c>
      <c r="J317" s="16">
        <v>0.1</v>
      </c>
      <c r="K317" t="s">
        <v>112</v>
      </c>
      <c r="L317" t="s">
        <v>89</v>
      </c>
      <c r="M317" s="17">
        <v>3</v>
      </c>
    </row>
    <row r="318" spans="1:13">
      <c r="A318" t="s">
        <v>450</v>
      </c>
      <c r="B318" s="15">
        <v>45666</v>
      </c>
      <c r="C318" s="15">
        <v>45671</v>
      </c>
      <c r="D318" t="s">
        <v>114</v>
      </c>
      <c r="E318" t="s">
        <v>106</v>
      </c>
      <c r="F318" t="s">
        <v>124</v>
      </c>
      <c r="G318" t="s">
        <v>125</v>
      </c>
      <c r="H318" t="s">
        <v>86</v>
      </c>
      <c r="I318" s="17">
        <v>5</v>
      </c>
      <c r="J318" s="16">
        <v>0</v>
      </c>
      <c r="K318" t="s">
        <v>119</v>
      </c>
      <c r="L318" t="s">
        <v>89</v>
      </c>
      <c r="M318" s="17">
        <v>3</v>
      </c>
    </row>
    <row r="319" spans="1:13">
      <c r="A319" t="s">
        <v>451</v>
      </c>
      <c r="B319" s="15">
        <v>45751</v>
      </c>
      <c r="C319" s="15">
        <v>45757</v>
      </c>
      <c r="D319" t="s">
        <v>132</v>
      </c>
      <c r="E319" t="s">
        <v>111</v>
      </c>
      <c r="F319" t="s">
        <v>93</v>
      </c>
      <c r="G319" t="s">
        <v>108</v>
      </c>
      <c r="H319" t="s">
        <v>103</v>
      </c>
      <c r="I319" s="17">
        <v>2</v>
      </c>
      <c r="J319" s="16">
        <v>0.05</v>
      </c>
      <c r="K319" t="s">
        <v>95</v>
      </c>
      <c r="L319" t="s">
        <v>89</v>
      </c>
      <c r="M319" s="17">
        <v>5</v>
      </c>
    </row>
    <row r="320" spans="1:13">
      <c r="A320" t="s">
        <v>452</v>
      </c>
      <c r="B320" s="15">
        <v>45817</v>
      </c>
      <c r="C320" s="15">
        <v>45823</v>
      </c>
      <c r="D320" t="s">
        <v>135</v>
      </c>
      <c r="E320" t="s">
        <v>84</v>
      </c>
      <c r="F320" t="s">
        <v>149</v>
      </c>
      <c r="G320" t="s">
        <v>94</v>
      </c>
      <c r="H320" t="s">
        <v>103</v>
      </c>
      <c r="I320" s="17">
        <v>3</v>
      </c>
      <c r="J320" s="16">
        <v>0.15</v>
      </c>
      <c r="K320" t="s">
        <v>116</v>
      </c>
      <c r="L320" t="s">
        <v>89</v>
      </c>
      <c r="M320" s="17">
        <v>5</v>
      </c>
    </row>
    <row r="321" spans="1:13">
      <c r="A321" t="s">
        <v>453</v>
      </c>
      <c r="B321" s="15">
        <v>45937</v>
      </c>
      <c r="C321" s="15">
        <v>45942</v>
      </c>
      <c r="D321" t="s">
        <v>123</v>
      </c>
      <c r="E321" t="s">
        <v>92</v>
      </c>
      <c r="F321" t="s">
        <v>93</v>
      </c>
      <c r="G321" t="s">
        <v>125</v>
      </c>
      <c r="H321" t="s">
        <v>103</v>
      </c>
      <c r="I321" s="17">
        <v>3</v>
      </c>
      <c r="J321" s="16">
        <v>0.05</v>
      </c>
      <c r="K321" t="s">
        <v>133</v>
      </c>
      <c r="L321" t="s">
        <v>89</v>
      </c>
      <c r="M321" s="17">
        <v>3</v>
      </c>
    </row>
    <row r="322" spans="1:13">
      <c r="A322" t="s">
        <v>454</v>
      </c>
      <c r="B322" s="15">
        <v>45905</v>
      </c>
      <c r="C322" s="15">
        <v>45906</v>
      </c>
      <c r="D322" t="s">
        <v>83</v>
      </c>
      <c r="E322" t="s">
        <v>98</v>
      </c>
      <c r="F322" t="s">
        <v>149</v>
      </c>
      <c r="G322" t="s">
        <v>94</v>
      </c>
      <c r="H322" t="s">
        <v>87</v>
      </c>
      <c r="I322" s="17">
        <v>5</v>
      </c>
      <c r="J322" s="16">
        <v>0.15</v>
      </c>
      <c r="K322" t="s">
        <v>112</v>
      </c>
      <c r="L322" t="s">
        <v>89</v>
      </c>
      <c r="M322" s="17">
        <v>4</v>
      </c>
    </row>
    <row r="323" spans="1:13">
      <c r="A323" t="s">
        <v>455</v>
      </c>
      <c r="B323" s="15">
        <v>45991</v>
      </c>
      <c r="C323" s="15">
        <v>45999</v>
      </c>
      <c r="D323" t="s">
        <v>91</v>
      </c>
      <c r="E323" t="s">
        <v>101</v>
      </c>
      <c r="F323" t="s">
        <v>118</v>
      </c>
      <c r="G323" t="s">
        <v>86</v>
      </c>
      <c r="H323" t="s">
        <v>103</v>
      </c>
      <c r="I323" s="17">
        <v>1</v>
      </c>
      <c r="J323" s="16">
        <v>0.05</v>
      </c>
      <c r="K323" t="s">
        <v>133</v>
      </c>
      <c r="L323" t="s">
        <v>89</v>
      </c>
      <c r="M323" s="17">
        <v>3</v>
      </c>
    </row>
    <row r="324" spans="1:13">
      <c r="A324" t="s">
        <v>456</v>
      </c>
      <c r="B324" s="15">
        <v>45785</v>
      </c>
      <c r="C324" s="15">
        <v>45792</v>
      </c>
      <c r="D324" t="s">
        <v>132</v>
      </c>
      <c r="E324" t="s">
        <v>106</v>
      </c>
      <c r="F324" t="s">
        <v>149</v>
      </c>
      <c r="G324" t="s">
        <v>108</v>
      </c>
      <c r="H324" t="s">
        <v>103</v>
      </c>
      <c r="I324" s="17">
        <v>3</v>
      </c>
      <c r="J324" s="16">
        <v>0.15</v>
      </c>
      <c r="K324" t="s">
        <v>95</v>
      </c>
      <c r="L324" t="s">
        <v>89</v>
      </c>
      <c r="M324" s="17">
        <v>4</v>
      </c>
    </row>
    <row r="325" spans="1:13">
      <c r="A325" t="s">
        <v>457</v>
      </c>
      <c r="B325" s="15">
        <v>45966</v>
      </c>
      <c r="C325" s="15">
        <v>45970</v>
      </c>
      <c r="D325" t="s">
        <v>212</v>
      </c>
      <c r="E325" t="s">
        <v>111</v>
      </c>
      <c r="F325" t="s">
        <v>121</v>
      </c>
      <c r="G325" t="s">
        <v>94</v>
      </c>
      <c r="H325" t="s">
        <v>87</v>
      </c>
      <c r="I325" s="17">
        <v>3</v>
      </c>
      <c r="J325" s="16">
        <v>0.1</v>
      </c>
      <c r="K325" t="s">
        <v>119</v>
      </c>
      <c r="L325" t="s">
        <v>89</v>
      </c>
      <c r="M325" s="17">
        <v>4</v>
      </c>
    </row>
    <row r="326" spans="1:13">
      <c r="A326" t="s">
        <v>458</v>
      </c>
      <c r="B326" s="15">
        <v>45747</v>
      </c>
      <c r="C326" s="15">
        <v>45749</v>
      </c>
      <c r="D326" t="s">
        <v>123</v>
      </c>
      <c r="E326" t="s">
        <v>84</v>
      </c>
      <c r="F326" t="s">
        <v>154</v>
      </c>
      <c r="G326" t="s">
        <v>108</v>
      </c>
      <c r="H326" t="s">
        <v>86</v>
      </c>
      <c r="I326" s="17">
        <v>1</v>
      </c>
      <c r="J326" s="16">
        <v>0.2</v>
      </c>
      <c r="K326" t="s">
        <v>88</v>
      </c>
      <c r="L326" t="s">
        <v>89</v>
      </c>
      <c r="M326" s="17">
        <v>4</v>
      </c>
    </row>
    <row r="327" spans="1:13">
      <c r="A327" t="s">
        <v>459</v>
      </c>
      <c r="B327" s="15">
        <v>45935</v>
      </c>
      <c r="C327" s="15">
        <v>45939</v>
      </c>
      <c r="D327" t="s">
        <v>83</v>
      </c>
      <c r="E327" t="s">
        <v>92</v>
      </c>
      <c r="F327" t="s">
        <v>124</v>
      </c>
      <c r="G327" t="s">
        <v>94</v>
      </c>
      <c r="H327" t="s">
        <v>103</v>
      </c>
      <c r="I327" s="17">
        <v>2</v>
      </c>
      <c r="J327" s="16">
        <v>0</v>
      </c>
      <c r="K327" t="s">
        <v>136</v>
      </c>
      <c r="L327" t="s">
        <v>89</v>
      </c>
      <c r="M327" s="17">
        <v>5</v>
      </c>
    </row>
    <row r="328" spans="1:13">
      <c r="A328" t="s">
        <v>460</v>
      </c>
      <c r="B328" s="15">
        <v>45969</v>
      </c>
      <c r="C328" s="15">
        <v>45977</v>
      </c>
      <c r="D328" t="s">
        <v>114</v>
      </c>
      <c r="E328" t="s">
        <v>98</v>
      </c>
      <c r="F328" t="s">
        <v>154</v>
      </c>
      <c r="G328" t="s">
        <v>94</v>
      </c>
      <c r="H328" t="s">
        <v>87</v>
      </c>
      <c r="I328" s="17">
        <v>3</v>
      </c>
      <c r="J328" s="16">
        <v>0.1</v>
      </c>
      <c r="K328" t="s">
        <v>95</v>
      </c>
      <c r="L328" t="s">
        <v>89</v>
      </c>
      <c r="M328" s="17">
        <v>3</v>
      </c>
    </row>
    <row r="329" spans="1:13">
      <c r="A329" t="s">
        <v>461</v>
      </c>
      <c r="B329" s="15">
        <v>45964</v>
      </c>
      <c r="C329" s="15">
        <v>45971</v>
      </c>
      <c r="E329" t="s">
        <v>101</v>
      </c>
      <c r="F329" t="s">
        <v>124</v>
      </c>
      <c r="G329" t="s">
        <v>94</v>
      </c>
      <c r="H329" t="s">
        <v>86</v>
      </c>
      <c r="I329" s="17">
        <v>2</v>
      </c>
      <c r="J329" s="16">
        <v>0.1</v>
      </c>
      <c r="K329" t="s">
        <v>119</v>
      </c>
      <c r="L329" t="s">
        <v>89</v>
      </c>
      <c r="M329" s="17">
        <v>3</v>
      </c>
    </row>
    <row r="330" spans="1:13">
      <c r="A330" t="s">
        <v>462</v>
      </c>
      <c r="B330" s="15">
        <v>45783</v>
      </c>
      <c r="C330" s="15">
        <v>45784</v>
      </c>
      <c r="D330" t="s">
        <v>135</v>
      </c>
      <c r="E330" t="s">
        <v>106</v>
      </c>
      <c r="F330" t="s">
        <v>102</v>
      </c>
      <c r="G330" t="s">
        <v>94</v>
      </c>
      <c r="H330" t="s">
        <v>87</v>
      </c>
      <c r="I330" s="17">
        <v>5</v>
      </c>
      <c r="J330" s="16">
        <v>0.1</v>
      </c>
      <c r="K330" t="s">
        <v>116</v>
      </c>
      <c r="L330" t="s">
        <v>89</v>
      </c>
      <c r="M330" s="17">
        <v>4</v>
      </c>
    </row>
    <row r="331" spans="1:13">
      <c r="A331" t="s">
        <v>463</v>
      </c>
      <c r="B331" s="15">
        <v>45864</v>
      </c>
      <c r="C331" s="15">
        <v>45871</v>
      </c>
      <c r="D331" t="s">
        <v>105</v>
      </c>
      <c r="E331" t="s">
        <v>111</v>
      </c>
      <c r="F331" t="s">
        <v>124</v>
      </c>
      <c r="G331" t="s">
        <v>108</v>
      </c>
      <c r="H331" t="s">
        <v>103</v>
      </c>
      <c r="I331" s="17">
        <v>1</v>
      </c>
      <c r="J331" s="16">
        <v>0.05</v>
      </c>
      <c r="K331" t="s">
        <v>116</v>
      </c>
      <c r="L331" t="s">
        <v>89</v>
      </c>
      <c r="M331" s="17">
        <v>4</v>
      </c>
    </row>
    <row r="332" spans="1:13">
      <c r="A332" t="s">
        <v>464</v>
      </c>
      <c r="B332" s="15">
        <v>45887</v>
      </c>
      <c r="C332" s="15">
        <v>45894</v>
      </c>
      <c r="D332" t="s">
        <v>146</v>
      </c>
      <c r="E332" t="s">
        <v>84</v>
      </c>
      <c r="F332" t="s">
        <v>85</v>
      </c>
      <c r="G332" t="s">
        <v>108</v>
      </c>
      <c r="H332" t="s">
        <v>103</v>
      </c>
      <c r="I332" s="17">
        <v>2</v>
      </c>
      <c r="J332" s="16">
        <v>0.1</v>
      </c>
      <c r="K332" t="s">
        <v>116</v>
      </c>
      <c r="L332" t="s">
        <v>89</v>
      </c>
      <c r="M332" s="17">
        <v>4</v>
      </c>
    </row>
    <row r="333" spans="1:13">
      <c r="A333" t="s">
        <v>465</v>
      </c>
      <c r="B333" s="15">
        <v>45930</v>
      </c>
      <c r="C333" s="15">
        <v>45931</v>
      </c>
      <c r="D333" t="s">
        <v>114</v>
      </c>
      <c r="E333" t="s">
        <v>92</v>
      </c>
      <c r="F333" t="s">
        <v>124</v>
      </c>
      <c r="G333" t="s">
        <v>108</v>
      </c>
      <c r="H333" t="s">
        <v>103</v>
      </c>
      <c r="I333" s="17">
        <v>5</v>
      </c>
      <c r="J333" s="16">
        <v>0</v>
      </c>
      <c r="K333" t="s">
        <v>95</v>
      </c>
      <c r="L333" t="s">
        <v>89</v>
      </c>
      <c r="M333" s="17">
        <v>3</v>
      </c>
    </row>
    <row r="334" spans="1:13">
      <c r="A334" t="s">
        <v>466</v>
      </c>
      <c r="B334" s="15">
        <v>45742</v>
      </c>
      <c r="C334" s="15">
        <v>45743</v>
      </c>
      <c r="D334" t="s">
        <v>97</v>
      </c>
      <c r="E334" t="s">
        <v>98</v>
      </c>
      <c r="F334" t="s">
        <v>154</v>
      </c>
      <c r="G334" t="s">
        <v>125</v>
      </c>
      <c r="H334" t="s">
        <v>86</v>
      </c>
      <c r="I334" s="17">
        <v>4</v>
      </c>
      <c r="J334" s="16">
        <v>0</v>
      </c>
      <c r="K334" t="s">
        <v>133</v>
      </c>
      <c r="L334" t="s">
        <v>89</v>
      </c>
      <c r="M334" s="17">
        <v>3</v>
      </c>
    </row>
    <row r="335" spans="1:13">
      <c r="A335" t="s">
        <v>467</v>
      </c>
      <c r="B335" s="15">
        <v>45976</v>
      </c>
      <c r="C335" s="15">
        <v>45977</v>
      </c>
      <c r="D335" t="s">
        <v>100</v>
      </c>
      <c r="E335" t="s">
        <v>101</v>
      </c>
      <c r="F335" t="s">
        <v>118</v>
      </c>
      <c r="G335" t="s">
        <v>94</v>
      </c>
      <c r="H335" t="s">
        <v>86</v>
      </c>
      <c r="I335" s="17">
        <v>1</v>
      </c>
      <c r="J335" s="16">
        <v>0.2</v>
      </c>
      <c r="K335" t="s">
        <v>116</v>
      </c>
      <c r="L335" t="s">
        <v>89</v>
      </c>
      <c r="M335" s="17">
        <v>5</v>
      </c>
    </row>
    <row r="336" spans="1:13">
      <c r="A336" t="s">
        <v>468</v>
      </c>
      <c r="B336" s="15">
        <v>45926</v>
      </c>
      <c r="C336" s="15">
        <v>45930</v>
      </c>
      <c r="D336" t="s">
        <v>123</v>
      </c>
      <c r="E336" t="s">
        <v>106</v>
      </c>
      <c r="F336" t="s">
        <v>85</v>
      </c>
      <c r="G336" t="s">
        <v>125</v>
      </c>
      <c r="H336" t="s">
        <v>87</v>
      </c>
      <c r="I336" s="17">
        <v>3</v>
      </c>
      <c r="J336" s="16">
        <v>0</v>
      </c>
      <c r="K336" t="s">
        <v>88</v>
      </c>
      <c r="L336" t="s">
        <v>89</v>
      </c>
      <c r="M336" s="17">
        <v>4</v>
      </c>
    </row>
    <row r="337" spans="1:13">
      <c r="A337" t="s">
        <v>469</v>
      </c>
      <c r="B337" s="15">
        <v>45708</v>
      </c>
      <c r="C337" s="15">
        <v>45711</v>
      </c>
      <c r="D337" t="s">
        <v>83</v>
      </c>
      <c r="E337" t="s">
        <v>111</v>
      </c>
      <c r="F337" t="s">
        <v>124</v>
      </c>
      <c r="G337" t="s">
        <v>125</v>
      </c>
      <c r="H337" t="s">
        <v>86</v>
      </c>
      <c r="I337" s="17">
        <v>4</v>
      </c>
      <c r="J337" s="16">
        <v>0.2</v>
      </c>
      <c r="K337" t="s">
        <v>140</v>
      </c>
      <c r="L337" t="s">
        <v>89</v>
      </c>
      <c r="M337" s="17">
        <v>3</v>
      </c>
    </row>
    <row r="338" spans="1:13">
      <c r="A338" t="s">
        <v>470</v>
      </c>
      <c r="B338" s="15">
        <v>45827</v>
      </c>
      <c r="C338" s="15">
        <v>45828</v>
      </c>
      <c r="D338" t="s">
        <v>114</v>
      </c>
      <c r="E338" t="s">
        <v>84</v>
      </c>
      <c r="F338" t="s">
        <v>115</v>
      </c>
      <c r="G338" t="s">
        <v>108</v>
      </c>
      <c r="H338" t="s">
        <v>103</v>
      </c>
      <c r="I338" s="17">
        <v>2</v>
      </c>
      <c r="J338" s="16">
        <v>0</v>
      </c>
      <c r="K338" t="s">
        <v>116</v>
      </c>
      <c r="L338" t="s">
        <v>89</v>
      </c>
      <c r="M338" s="17">
        <v>4</v>
      </c>
    </row>
    <row r="339" spans="1:13">
      <c r="A339" t="s">
        <v>471</v>
      </c>
      <c r="B339" s="15">
        <v>45678</v>
      </c>
      <c r="C339" s="15">
        <v>45679</v>
      </c>
      <c r="D339" t="s">
        <v>157</v>
      </c>
      <c r="E339" t="s">
        <v>92</v>
      </c>
      <c r="F339" t="s">
        <v>138</v>
      </c>
      <c r="G339" t="s">
        <v>108</v>
      </c>
      <c r="H339" t="s">
        <v>86</v>
      </c>
      <c r="I339" s="17">
        <v>2</v>
      </c>
      <c r="J339" s="16">
        <v>0.1</v>
      </c>
      <c r="K339" t="s">
        <v>133</v>
      </c>
      <c r="L339" t="s">
        <v>89</v>
      </c>
      <c r="M339" s="17">
        <v>5</v>
      </c>
    </row>
    <row r="340" spans="1:13">
      <c r="A340" t="s">
        <v>472</v>
      </c>
      <c r="B340" s="15">
        <v>45915</v>
      </c>
      <c r="C340" s="15">
        <v>45919</v>
      </c>
      <c r="D340" t="s">
        <v>100</v>
      </c>
      <c r="E340" t="s">
        <v>98</v>
      </c>
      <c r="F340" t="s">
        <v>107</v>
      </c>
      <c r="G340" t="s">
        <v>125</v>
      </c>
      <c r="H340" t="s">
        <v>103</v>
      </c>
      <c r="I340" s="17">
        <v>3</v>
      </c>
      <c r="J340" s="16">
        <v>0.2</v>
      </c>
      <c r="K340" t="s">
        <v>116</v>
      </c>
      <c r="L340" t="s">
        <v>89</v>
      </c>
      <c r="M340" s="17">
        <v>4</v>
      </c>
    </row>
    <row r="341" spans="1:13">
      <c r="A341" t="s">
        <v>473</v>
      </c>
      <c r="B341" s="15">
        <v>45756</v>
      </c>
      <c r="C341" s="15">
        <v>45761</v>
      </c>
      <c r="D341" t="s">
        <v>123</v>
      </c>
      <c r="E341" t="s">
        <v>101</v>
      </c>
      <c r="F341" t="s">
        <v>138</v>
      </c>
      <c r="G341" t="s">
        <v>94</v>
      </c>
      <c r="H341" t="s">
        <v>87</v>
      </c>
      <c r="I341" s="17">
        <v>2</v>
      </c>
      <c r="J341" s="16">
        <v>0</v>
      </c>
      <c r="K341" t="s">
        <v>140</v>
      </c>
      <c r="L341" t="s">
        <v>89</v>
      </c>
      <c r="M341" s="17">
        <v>3</v>
      </c>
    </row>
    <row r="342" spans="1:13">
      <c r="A342" t="s">
        <v>474</v>
      </c>
      <c r="B342" s="15">
        <v>45853</v>
      </c>
      <c r="C342" s="15">
        <v>45858</v>
      </c>
      <c r="D342" t="s">
        <v>146</v>
      </c>
      <c r="E342" t="s">
        <v>106</v>
      </c>
      <c r="F342" t="s">
        <v>149</v>
      </c>
      <c r="G342" t="s">
        <v>94</v>
      </c>
      <c r="H342" t="s">
        <v>86</v>
      </c>
      <c r="I342" s="17">
        <v>4</v>
      </c>
      <c r="J342" s="16">
        <v>0.05</v>
      </c>
      <c r="K342" t="s">
        <v>140</v>
      </c>
      <c r="L342" t="s">
        <v>89</v>
      </c>
      <c r="M342" s="17">
        <v>5</v>
      </c>
    </row>
    <row r="343" spans="1:13">
      <c r="A343" t="s">
        <v>475</v>
      </c>
      <c r="B343" s="15">
        <v>45748</v>
      </c>
      <c r="C343" s="15">
        <v>45755</v>
      </c>
      <c r="D343" t="s">
        <v>114</v>
      </c>
      <c r="E343" t="s">
        <v>111</v>
      </c>
      <c r="F343" t="s">
        <v>149</v>
      </c>
      <c r="G343" t="s">
        <v>125</v>
      </c>
      <c r="H343" t="s">
        <v>87</v>
      </c>
      <c r="I343" s="17">
        <v>3</v>
      </c>
      <c r="J343" s="16">
        <v>0.2</v>
      </c>
      <c r="K343" t="s">
        <v>140</v>
      </c>
      <c r="L343" t="s">
        <v>89</v>
      </c>
      <c r="M343" s="17">
        <v>5</v>
      </c>
    </row>
    <row r="344" spans="1:13">
      <c r="A344" t="s">
        <v>476</v>
      </c>
      <c r="B344" s="15">
        <v>45685</v>
      </c>
      <c r="C344" s="15">
        <v>45688</v>
      </c>
      <c r="D344" t="s">
        <v>157</v>
      </c>
      <c r="E344" t="s">
        <v>84</v>
      </c>
      <c r="F344" t="s">
        <v>115</v>
      </c>
      <c r="G344" t="s">
        <v>108</v>
      </c>
      <c r="H344" t="s">
        <v>87</v>
      </c>
      <c r="I344" s="17">
        <v>3</v>
      </c>
      <c r="J344" s="16">
        <v>0.1</v>
      </c>
      <c r="K344" t="s">
        <v>88</v>
      </c>
      <c r="L344" t="s">
        <v>89</v>
      </c>
      <c r="M344" s="17">
        <v>3</v>
      </c>
    </row>
    <row r="345" spans="1:13">
      <c r="A345" t="s">
        <v>477</v>
      </c>
      <c r="B345" s="15">
        <v>45831</v>
      </c>
      <c r="C345" s="15">
        <v>45832</v>
      </c>
      <c r="D345" t="s">
        <v>100</v>
      </c>
      <c r="E345" t="s">
        <v>92</v>
      </c>
      <c r="F345" t="s">
        <v>115</v>
      </c>
      <c r="G345" t="s">
        <v>125</v>
      </c>
      <c r="H345" t="s">
        <v>86</v>
      </c>
      <c r="I345" s="17">
        <v>5</v>
      </c>
      <c r="J345" s="16">
        <v>0</v>
      </c>
      <c r="K345" t="s">
        <v>112</v>
      </c>
      <c r="L345" t="s">
        <v>89</v>
      </c>
      <c r="M345" s="17">
        <v>5</v>
      </c>
    </row>
    <row r="346" spans="1:13">
      <c r="A346" t="s">
        <v>478</v>
      </c>
      <c r="B346" s="15">
        <v>45908</v>
      </c>
      <c r="C346" s="15">
        <v>45909</v>
      </c>
      <c r="D346" t="s">
        <v>123</v>
      </c>
      <c r="E346" t="s">
        <v>98</v>
      </c>
      <c r="F346" t="s">
        <v>147</v>
      </c>
      <c r="G346" t="s">
        <v>86</v>
      </c>
      <c r="H346" t="s">
        <v>87</v>
      </c>
      <c r="I346" s="17">
        <v>5</v>
      </c>
      <c r="J346" s="16">
        <v>0.05</v>
      </c>
      <c r="K346" t="s">
        <v>136</v>
      </c>
      <c r="L346" t="s">
        <v>89</v>
      </c>
      <c r="M346" s="17">
        <v>4</v>
      </c>
    </row>
    <row r="347" spans="1:13">
      <c r="A347" t="s">
        <v>479</v>
      </c>
      <c r="B347" s="15">
        <v>45853</v>
      </c>
      <c r="C347" s="15">
        <v>45855</v>
      </c>
      <c r="D347" t="s">
        <v>83</v>
      </c>
      <c r="E347" t="s">
        <v>101</v>
      </c>
      <c r="F347" t="s">
        <v>149</v>
      </c>
      <c r="G347" t="s">
        <v>125</v>
      </c>
      <c r="H347" t="s">
        <v>87</v>
      </c>
      <c r="I347" s="17">
        <v>3</v>
      </c>
      <c r="J347" s="16">
        <v>0.05</v>
      </c>
      <c r="K347" t="s">
        <v>88</v>
      </c>
      <c r="L347" t="s">
        <v>89</v>
      </c>
      <c r="M347" s="17">
        <v>4</v>
      </c>
    </row>
    <row r="348" spans="1:13">
      <c r="A348" t="s">
        <v>480</v>
      </c>
      <c r="B348" s="15">
        <v>45919</v>
      </c>
      <c r="C348" s="15">
        <v>45923</v>
      </c>
      <c r="D348" t="s">
        <v>114</v>
      </c>
      <c r="E348" t="s">
        <v>106</v>
      </c>
      <c r="F348" t="s">
        <v>115</v>
      </c>
      <c r="G348" t="s">
        <v>86</v>
      </c>
      <c r="H348" t="s">
        <v>103</v>
      </c>
      <c r="I348" s="17">
        <v>4</v>
      </c>
      <c r="J348" s="16">
        <v>0.2</v>
      </c>
      <c r="K348" t="s">
        <v>112</v>
      </c>
      <c r="L348" t="s">
        <v>89</v>
      </c>
      <c r="M348" s="17">
        <v>3</v>
      </c>
    </row>
    <row r="349" spans="1:13">
      <c r="A349" t="s">
        <v>481</v>
      </c>
      <c r="B349" s="15">
        <v>45988</v>
      </c>
      <c r="C349" s="15">
        <v>45990</v>
      </c>
      <c r="D349" t="s">
        <v>97</v>
      </c>
      <c r="E349" t="s">
        <v>111</v>
      </c>
      <c r="F349" t="s">
        <v>121</v>
      </c>
      <c r="G349" t="s">
        <v>86</v>
      </c>
      <c r="H349" t="s">
        <v>87</v>
      </c>
      <c r="I349" s="17">
        <v>4</v>
      </c>
      <c r="J349" s="16">
        <v>0</v>
      </c>
      <c r="K349" t="s">
        <v>112</v>
      </c>
      <c r="L349" t="s">
        <v>89</v>
      </c>
      <c r="M349" s="17">
        <v>5</v>
      </c>
    </row>
    <row r="350" spans="1:13">
      <c r="A350" t="s">
        <v>482</v>
      </c>
      <c r="B350" s="15">
        <v>45825</v>
      </c>
      <c r="C350" s="15">
        <v>45832</v>
      </c>
      <c r="D350" t="s">
        <v>164</v>
      </c>
      <c r="E350" t="s">
        <v>84</v>
      </c>
      <c r="F350" t="s">
        <v>149</v>
      </c>
      <c r="G350" t="s">
        <v>125</v>
      </c>
      <c r="H350" t="s">
        <v>103</v>
      </c>
      <c r="I350" s="17">
        <v>3</v>
      </c>
      <c r="J350" s="16">
        <v>0.1</v>
      </c>
      <c r="K350" t="s">
        <v>119</v>
      </c>
      <c r="L350" t="s">
        <v>89</v>
      </c>
      <c r="M350" s="17">
        <v>4</v>
      </c>
    </row>
    <row r="351" spans="1:13">
      <c r="A351" t="s">
        <v>483</v>
      </c>
      <c r="B351" s="15">
        <v>45696</v>
      </c>
      <c r="C351" s="15">
        <v>45700</v>
      </c>
      <c r="E351" t="s">
        <v>92</v>
      </c>
      <c r="F351" t="s">
        <v>149</v>
      </c>
      <c r="G351" t="s">
        <v>125</v>
      </c>
      <c r="H351" t="s">
        <v>86</v>
      </c>
      <c r="I351" s="17">
        <v>5</v>
      </c>
      <c r="J351" s="16">
        <v>0.1</v>
      </c>
      <c r="K351" t="s">
        <v>140</v>
      </c>
      <c r="L351" t="s">
        <v>89</v>
      </c>
      <c r="M351" s="17">
        <v>5</v>
      </c>
    </row>
    <row r="352" spans="1:13">
      <c r="A352" t="s">
        <v>484</v>
      </c>
      <c r="B352" s="15">
        <v>45858</v>
      </c>
      <c r="C352" s="15">
        <v>45860</v>
      </c>
      <c r="D352" t="s">
        <v>110</v>
      </c>
      <c r="E352" t="s">
        <v>98</v>
      </c>
      <c r="F352" t="s">
        <v>124</v>
      </c>
      <c r="G352" t="s">
        <v>125</v>
      </c>
      <c r="H352" t="s">
        <v>86</v>
      </c>
      <c r="I352" s="17">
        <v>2</v>
      </c>
      <c r="J352" s="16">
        <v>0</v>
      </c>
      <c r="K352" t="s">
        <v>140</v>
      </c>
      <c r="L352" t="s">
        <v>89</v>
      </c>
      <c r="M352" s="17">
        <v>4</v>
      </c>
    </row>
    <row r="353" spans="1:13">
      <c r="A353" t="s">
        <v>485</v>
      </c>
      <c r="B353" s="15">
        <v>45976</v>
      </c>
      <c r="C353" s="15">
        <v>45983</v>
      </c>
      <c r="D353" t="s">
        <v>91</v>
      </c>
      <c r="E353" t="s">
        <v>101</v>
      </c>
      <c r="F353" t="s">
        <v>154</v>
      </c>
      <c r="G353" t="s">
        <v>86</v>
      </c>
      <c r="H353" t="s">
        <v>87</v>
      </c>
      <c r="I353" s="17">
        <v>3</v>
      </c>
      <c r="J353" s="16">
        <v>0.15</v>
      </c>
      <c r="K353" t="s">
        <v>140</v>
      </c>
      <c r="L353" t="s">
        <v>89</v>
      </c>
      <c r="M353" s="17">
        <v>3</v>
      </c>
    </row>
    <row r="354" spans="1:13">
      <c r="A354" t="s">
        <v>486</v>
      </c>
      <c r="B354" s="15">
        <v>45890</v>
      </c>
      <c r="C354" s="15">
        <v>45896</v>
      </c>
      <c r="D354" t="s">
        <v>157</v>
      </c>
      <c r="E354" t="s">
        <v>106</v>
      </c>
      <c r="F354" t="s">
        <v>102</v>
      </c>
      <c r="G354" t="s">
        <v>94</v>
      </c>
      <c r="H354" t="s">
        <v>103</v>
      </c>
      <c r="I354" s="17">
        <v>3</v>
      </c>
      <c r="J354" s="16">
        <v>0.2</v>
      </c>
      <c r="K354" t="s">
        <v>95</v>
      </c>
      <c r="L354" t="s">
        <v>126</v>
      </c>
      <c r="M354" s="17">
        <v>3</v>
      </c>
    </row>
    <row r="355" spans="1:13">
      <c r="A355" t="s">
        <v>487</v>
      </c>
      <c r="B355" s="15">
        <v>45750</v>
      </c>
      <c r="C355" s="15">
        <v>45754</v>
      </c>
      <c r="D355" t="s">
        <v>164</v>
      </c>
      <c r="E355" t="s">
        <v>111</v>
      </c>
      <c r="F355" t="s">
        <v>138</v>
      </c>
      <c r="G355" t="s">
        <v>108</v>
      </c>
      <c r="H355" t="s">
        <v>86</v>
      </c>
      <c r="I355" s="17">
        <v>1</v>
      </c>
      <c r="J355" s="16">
        <v>0.1</v>
      </c>
      <c r="K355" t="s">
        <v>136</v>
      </c>
      <c r="L355" t="s">
        <v>89</v>
      </c>
      <c r="M355" s="17">
        <v>3</v>
      </c>
    </row>
    <row r="356" spans="1:13">
      <c r="A356" t="s">
        <v>488</v>
      </c>
      <c r="B356" s="15">
        <v>45858</v>
      </c>
      <c r="C356" s="15">
        <v>45860</v>
      </c>
      <c r="D356" t="s">
        <v>123</v>
      </c>
      <c r="E356" t="s">
        <v>84</v>
      </c>
      <c r="F356" t="s">
        <v>121</v>
      </c>
      <c r="G356" t="s">
        <v>108</v>
      </c>
      <c r="H356" t="s">
        <v>86</v>
      </c>
      <c r="I356" s="17">
        <v>2</v>
      </c>
      <c r="J356" s="16">
        <v>0.15</v>
      </c>
      <c r="K356" t="s">
        <v>95</v>
      </c>
      <c r="L356" t="s">
        <v>89</v>
      </c>
      <c r="M356" s="17">
        <v>5</v>
      </c>
    </row>
    <row r="357" spans="1:13">
      <c r="A357" t="s">
        <v>489</v>
      </c>
      <c r="B357" s="15">
        <v>45794</v>
      </c>
      <c r="C357" s="15">
        <v>45797</v>
      </c>
      <c r="D357" t="s">
        <v>83</v>
      </c>
      <c r="E357" t="s">
        <v>92</v>
      </c>
      <c r="F357" t="s">
        <v>147</v>
      </c>
      <c r="G357" t="s">
        <v>86</v>
      </c>
      <c r="H357" t="s">
        <v>87</v>
      </c>
      <c r="I357" s="17">
        <v>2</v>
      </c>
      <c r="J357" s="16">
        <v>0.05</v>
      </c>
      <c r="K357" t="s">
        <v>119</v>
      </c>
      <c r="L357" t="s">
        <v>89</v>
      </c>
      <c r="M357" s="17">
        <v>4</v>
      </c>
    </row>
    <row r="358" spans="1:13">
      <c r="A358" t="s">
        <v>490</v>
      </c>
      <c r="B358" s="15">
        <v>45881</v>
      </c>
      <c r="C358" s="15">
        <v>45884</v>
      </c>
      <c r="D358" t="s">
        <v>91</v>
      </c>
      <c r="E358" t="s">
        <v>98</v>
      </c>
      <c r="F358" t="s">
        <v>107</v>
      </c>
      <c r="G358" t="s">
        <v>86</v>
      </c>
      <c r="H358" t="s">
        <v>103</v>
      </c>
      <c r="I358" s="17">
        <v>4</v>
      </c>
      <c r="J358" s="16">
        <v>0.15</v>
      </c>
      <c r="K358" t="s">
        <v>95</v>
      </c>
      <c r="L358" t="s">
        <v>89</v>
      </c>
      <c r="M358" s="17">
        <v>3</v>
      </c>
    </row>
    <row r="359" spans="1:13">
      <c r="A359" t="s">
        <v>491</v>
      </c>
      <c r="B359" s="15">
        <v>45819</v>
      </c>
      <c r="C359" s="15">
        <v>45826</v>
      </c>
      <c r="D359" t="s">
        <v>132</v>
      </c>
      <c r="E359" t="s">
        <v>101</v>
      </c>
      <c r="F359" t="s">
        <v>107</v>
      </c>
      <c r="G359" t="s">
        <v>125</v>
      </c>
      <c r="H359" t="s">
        <v>86</v>
      </c>
      <c r="I359" s="17">
        <v>2</v>
      </c>
      <c r="J359" s="16">
        <v>0</v>
      </c>
      <c r="K359" t="s">
        <v>95</v>
      </c>
      <c r="L359" t="s">
        <v>89</v>
      </c>
      <c r="M359" s="17">
        <v>5</v>
      </c>
    </row>
    <row r="360" spans="1:13">
      <c r="A360" t="s">
        <v>492</v>
      </c>
      <c r="B360" s="15">
        <v>45692</v>
      </c>
      <c r="C360" s="15">
        <v>45694</v>
      </c>
      <c r="D360" t="s">
        <v>100</v>
      </c>
      <c r="E360" t="s">
        <v>106</v>
      </c>
      <c r="F360" t="s">
        <v>107</v>
      </c>
      <c r="G360" t="s">
        <v>94</v>
      </c>
      <c r="H360" t="s">
        <v>103</v>
      </c>
      <c r="I360" s="17">
        <v>3</v>
      </c>
      <c r="J360" s="16">
        <v>0</v>
      </c>
      <c r="K360" t="s">
        <v>136</v>
      </c>
      <c r="L360" t="s">
        <v>89</v>
      </c>
      <c r="M360" s="17">
        <v>5</v>
      </c>
    </row>
    <row r="361" spans="1:13">
      <c r="A361" t="s">
        <v>493</v>
      </c>
      <c r="B361" s="15">
        <v>45877</v>
      </c>
      <c r="C361" s="15">
        <v>45880</v>
      </c>
      <c r="D361" t="s">
        <v>166</v>
      </c>
      <c r="E361" t="s">
        <v>111</v>
      </c>
      <c r="F361" t="s">
        <v>102</v>
      </c>
      <c r="G361" t="s">
        <v>125</v>
      </c>
      <c r="H361" t="s">
        <v>86</v>
      </c>
      <c r="I361" s="17">
        <v>3</v>
      </c>
      <c r="J361" s="16">
        <v>0.15</v>
      </c>
      <c r="K361" t="s">
        <v>140</v>
      </c>
      <c r="L361" t="s">
        <v>89</v>
      </c>
      <c r="M361" s="17">
        <v>3</v>
      </c>
    </row>
    <row r="362" spans="1:13">
      <c r="A362" t="s">
        <v>120</v>
      </c>
      <c r="B362" s="15">
        <v>45829</v>
      </c>
      <c r="C362" s="15">
        <v>45832</v>
      </c>
      <c r="D362" t="s">
        <v>100</v>
      </c>
      <c r="E362" t="s">
        <v>98</v>
      </c>
      <c r="F362" t="s">
        <v>121</v>
      </c>
      <c r="G362" t="s">
        <v>108</v>
      </c>
      <c r="H362" t="s">
        <v>87</v>
      </c>
      <c r="I362" s="17">
        <v>3</v>
      </c>
      <c r="J362" s="16">
        <v>0.1</v>
      </c>
      <c r="K362" t="s">
        <v>116</v>
      </c>
      <c r="L362" t="s">
        <v>89</v>
      </c>
      <c r="M362" s="17">
        <v>4</v>
      </c>
    </row>
    <row r="363" spans="1:13">
      <c r="A363" t="s">
        <v>176</v>
      </c>
      <c r="B363" s="15">
        <v>45810</v>
      </c>
      <c r="C363" s="15">
        <v>45814</v>
      </c>
      <c r="D363" t="s">
        <v>123</v>
      </c>
      <c r="E363" t="s">
        <v>98</v>
      </c>
      <c r="F363" t="s">
        <v>138</v>
      </c>
      <c r="G363" t="s">
        <v>94</v>
      </c>
      <c r="H363" t="s">
        <v>103</v>
      </c>
      <c r="I363" s="17">
        <v>5</v>
      </c>
      <c r="J363" s="16">
        <v>0.2</v>
      </c>
      <c r="K363" t="s">
        <v>116</v>
      </c>
      <c r="L363" t="s">
        <v>89</v>
      </c>
      <c r="M363" s="17">
        <v>4</v>
      </c>
    </row>
    <row r="364" spans="1:13">
      <c r="A364" t="s">
        <v>243</v>
      </c>
      <c r="B364" s="15">
        <v>45922</v>
      </c>
      <c r="C364" s="15">
        <v>45925</v>
      </c>
      <c r="D364" t="s">
        <v>105</v>
      </c>
      <c r="E364" t="s">
        <v>92</v>
      </c>
      <c r="F364" t="s">
        <v>149</v>
      </c>
      <c r="G364" t="s">
        <v>94</v>
      </c>
      <c r="H364" t="s">
        <v>103</v>
      </c>
      <c r="I364" s="17">
        <v>5</v>
      </c>
      <c r="J364" s="16">
        <v>0</v>
      </c>
      <c r="K364" t="s">
        <v>119</v>
      </c>
      <c r="L364" t="s">
        <v>126</v>
      </c>
      <c r="M364" s="17">
        <v>3</v>
      </c>
    </row>
    <row r="365" spans="1:13">
      <c r="A365" t="s">
        <v>307</v>
      </c>
      <c r="B365" s="15">
        <v>45907</v>
      </c>
      <c r="C365" s="15">
        <v>45911</v>
      </c>
      <c r="D365" t="s">
        <v>212</v>
      </c>
      <c r="E365" t="s">
        <v>111</v>
      </c>
      <c r="F365" t="s">
        <v>147</v>
      </c>
      <c r="G365" t="s">
        <v>125</v>
      </c>
      <c r="H365" t="s">
        <v>103</v>
      </c>
      <c r="I365" s="17">
        <v>1</v>
      </c>
      <c r="J365" s="16">
        <v>0.1</v>
      </c>
      <c r="K365" t="s">
        <v>112</v>
      </c>
      <c r="L365" t="s">
        <v>89</v>
      </c>
      <c r="M365" s="17">
        <v>4</v>
      </c>
    </row>
    <row r="366" spans="1:13">
      <c r="A366" t="s">
        <v>389</v>
      </c>
      <c r="B366" s="15">
        <v>45691</v>
      </c>
      <c r="C366" s="15">
        <v>45695</v>
      </c>
      <c r="D366" t="s">
        <v>128</v>
      </c>
      <c r="E366" t="s">
        <v>101</v>
      </c>
      <c r="F366" t="s">
        <v>124</v>
      </c>
      <c r="G366" t="s">
        <v>125</v>
      </c>
      <c r="H366" t="s">
        <v>86</v>
      </c>
      <c r="I366" s="17">
        <v>5</v>
      </c>
      <c r="J366" s="16">
        <v>0.05</v>
      </c>
      <c r="K366" t="s">
        <v>112</v>
      </c>
      <c r="L366" t="s">
        <v>126</v>
      </c>
      <c r="M366" s="17">
        <v>1</v>
      </c>
    </row>
    <row r="367" spans="1:13">
      <c r="A367" t="s">
        <v>452</v>
      </c>
      <c r="B367" s="15">
        <v>45817</v>
      </c>
      <c r="C367" s="15">
        <v>45823</v>
      </c>
      <c r="D367" t="s">
        <v>135</v>
      </c>
      <c r="E367" t="s">
        <v>84</v>
      </c>
      <c r="F367" t="s">
        <v>149</v>
      </c>
      <c r="G367" t="s">
        <v>94</v>
      </c>
      <c r="H367" t="s">
        <v>103</v>
      </c>
      <c r="I367" s="17">
        <v>3</v>
      </c>
      <c r="J367" s="16">
        <v>0.15</v>
      </c>
      <c r="K367" t="s">
        <v>116</v>
      </c>
      <c r="L367" t="s">
        <v>89</v>
      </c>
      <c r="M367" s="17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565B-AB47-4833-A3C0-F6BDC8DDDBC5}">
  <dimension ref="A1:S14"/>
  <sheetViews>
    <sheetView topLeftCell="J1" workbookViewId="0">
      <selection activeCell="R2" sqref="R2"/>
    </sheetView>
  </sheetViews>
  <sheetFormatPr defaultRowHeight="13.8"/>
  <cols>
    <col min="1" max="1" width="13.09765625" bestFit="1" customWidth="1"/>
    <col min="2" max="2" width="19.69921875" bestFit="1" customWidth="1"/>
    <col min="3" max="3" width="12.296875" bestFit="1" customWidth="1"/>
    <col min="5" max="5" width="13.09765625" bestFit="1" customWidth="1"/>
    <col min="6" max="6" width="19.69921875" bestFit="1" customWidth="1"/>
    <col min="7" max="7" width="12.296875" bestFit="1" customWidth="1"/>
    <col min="9" max="9" width="13.09765625" bestFit="1" customWidth="1"/>
    <col min="10" max="10" width="19.69921875" bestFit="1" customWidth="1"/>
    <col min="11" max="11" width="12.296875" bestFit="1" customWidth="1"/>
    <col min="13" max="13" width="13.09765625" bestFit="1" customWidth="1"/>
    <col min="14" max="14" width="19.69921875" bestFit="1" customWidth="1"/>
    <col min="15" max="15" width="12.296875" bestFit="1" customWidth="1"/>
    <col min="17" max="17" width="13.09765625" bestFit="1" customWidth="1"/>
    <col min="18" max="18" width="19.69921875" bestFit="1" customWidth="1"/>
    <col min="19" max="19" width="12.296875" bestFit="1" customWidth="1"/>
  </cols>
  <sheetData>
    <row r="1" spans="1:19">
      <c r="A1" s="29" t="s">
        <v>542</v>
      </c>
      <c r="B1" t="s">
        <v>544</v>
      </c>
      <c r="C1" t="s">
        <v>545</v>
      </c>
      <c r="E1" s="29" t="s">
        <v>542</v>
      </c>
      <c r="F1" t="s">
        <v>544</v>
      </c>
      <c r="G1" t="s">
        <v>545</v>
      </c>
      <c r="I1" s="29" t="s">
        <v>542</v>
      </c>
      <c r="J1" t="s">
        <v>544</v>
      </c>
      <c r="K1" t="s">
        <v>545</v>
      </c>
      <c r="M1" s="29" t="s">
        <v>542</v>
      </c>
      <c r="N1" t="s">
        <v>544</v>
      </c>
      <c r="O1" t="s">
        <v>545</v>
      </c>
      <c r="Q1" s="29" t="s">
        <v>542</v>
      </c>
      <c r="R1" t="s">
        <v>544</v>
      </c>
      <c r="S1" t="s">
        <v>545</v>
      </c>
    </row>
    <row r="2" spans="1:19">
      <c r="A2" s="30">
        <v>45658</v>
      </c>
      <c r="B2">
        <v>347480.44999999995</v>
      </c>
      <c r="C2">
        <v>102260.45000000001</v>
      </c>
      <c r="E2" s="31" t="s">
        <v>83</v>
      </c>
      <c r="F2">
        <v>833653.79999999993</v>
      </c>
      <c r="G2">
        <v>237983.8</v>
      </c>
      <c r="I2" s="31" t="s">
        <v>500</v>
      </c>
      <c r="J2">
        <v>835809.05000000028</v>
      </c>
      <c r="K2">
        <v>328119.05</v>
      </c>
      <c r="M2" s="31" t="s">
        <v>86</v>
      </c>
      <c r="N2">
        <v>1020686.2499999999</v>
      </c>
      <c r="O2">
        <v>297116.25</v>
      </c>
      <c r="Q2" s="31" t="s">
        <v>84</v>
      </c>
      <c r="R2">
        <v>743898.05</v>
      </c>
      <c r="S2">
        <v>194048.04999999996</v>
      </c>
    </row>
    <row r="3" spans="1:19">
      <c r="A3" s="30">
        <v>45689</v>
      </c>
      <c r="B3">
        <v>227343.74999999997</v>
      </c>
      <c r="C3">
        <v>67583.75</v>
      </c>
      <c r="E3" s="31" t="s">
        <v>123</v>
      </c>
      <c r="F3">
        <v>1028136.25</v>
      </c>
      <c r="G3">
        <v>282666.25</v>
      </c>
      <c r="I3" s="31" t="s">
        <v>507</v>
      </c>
      <c r="J3">
        <v>441031.89999999997</v>
      </c>
      <c r="K3">
        <v>153181.9</v>
      </c>
      <c r="M3" s="31" t="s">
        <v>108</v>
      </c>
      <c r="N3">
        <v>952633.3</v>
      </c>
      <c r="O3">
        <v>256143.30000000002</v>
      </c>
      <c r="Q3" s="31" t="s">
        <v>111</v>
      </c>
      <c r="R3">
        <v>623600.84999999986</v>
      </c>
      <c r="S3">
        <v>171100.85000000003</v>
      </c>
    </row>
    <row r="4" spans="1:19">
      <c r="A4" s="30">
        <v>45717</v>
      </c>
      <c r="B4">
        <v>398596.00000000006</v>
      </c>
      <c r="C4">
        <v>105395.99999999999</v>
      </c>
      <c r="E4" s="31" t="s">
        <v>212</v>
      </c>
      <c r="F4">
        <v>706352.1</v>
      </c>
      <c r="G4">
        <v>197342.1</v>
      </c>
      <c r="I4" s="31" t="s">
        <v>505</v>
      </c>
      <c r="J4">
        <v>879382.35</v>
      </c>
      <c r="K4">
        <v>196882.35</v>
      </c>
      <c r="M4" s="31" t="s">
        <v>125</v>
      </c>
      <c r="N4">
        <v>1009244.5000000001</v>
      </c>
      <c r="O4">
        <v>297964.5</v>
      </c>
      <c r="Q4" s="31" t="s">
        <v>98</v>
      </c>
      <c r="R4">
        <v>713308.7</v>
      </c>
      <c r="S4">
        <v>193018.7</v>
      </c>
    </row>
    <row r="5" spans="1:19">
      <c r="A5" s="30">
        <v>45748</v>
      </c>
      <c r="B5">
        <v>397527.59999999992</v>
      </c>
      <c r="C5">
        <v>106417.60000000002</v>
      </c>
      <c r="E5" s="31" t="s">
        <v>157</v>
      </c>
      <c r="F5">
        <v>674139.95</v>
      </c>
      <c r="G5">
        <v>190179.95</v>
      </c>
      <c r="I5" s="31" t="s">
        <v>512</v>
      </c>
      <c r="J5">
        <v>1050341.95</v>
      </c>
      <c r="K5">
        <v>269241.95</v>
      </c>
      <c r="M5" s="31" t="s">
        <v>94</v>
      </c>
      <c r="N5">
        <v>1199698.2</v>
      </c>
      <c r="O5">
        <v>318998.19999999995</v>
      </c>
      <c r="Q5" s="31" t="s">
        <v>92</v>
      </c>
      <c r="R5">
        <v>707121.85</v>
      </c>
      <c r="S5">
        <v>215411.85</v>
      </c>
    </row>
    <row r="6" spans="1:19">
      <c r="A6" s="30">
        <v>45778</v>
      </c>
      <c r="B6">
        <v>366911.05</v>
      </c>
      <c r="C6">
        <v>118641.04999999999</v>
      </c>
      <c r="E6" s="31" t="s">
        <v>114</v>
      </c>
      <c r="F6">
        <v>799625.05000000016</v>
      </c>
      <c r="G6">
        <v>228725.05</v>
      </c>
      <c r="I6" s="31" t="s">
        <v>510</v>
      </c>
      <c r="J6">
        <v>975696.99999999977</v>
      </c>
      <c r="K6">
        <v>222797.00000000003</v>
      </c>
      <c r="M6" s="31" t="s">
        <v>543</v>
      </c>
      <c r="N6">
        <v>4182262.25</v>
      </c>
      <c r="O6">
        <v>1170222.25</v>
      </c>
      <c r="Q6" s="31" t="s">
        <v>106</v>
      </c>
      <c r="R6">
        <v>765844.6</v>
      </c>
      <c r="S6">
        <v>206614.6</v>
      </c>
    </row>
    <row r="7" spans="1:19">
      <c r="A7" s="30">
        <v>45809</v>
      </c>
      <c r="B7">
        <v>318411.2</v>
      </c>
      <c r="C7">
        <v>94751.199999999983</v>
      </c>
      <c r="E7" s="31" t="s">
        <v>531</v>
      </c>
      <c r="F7">
        <v>140355.1</v>
      </c>
      <c r="G7">
        <v>33325.100000000006</v>
      </c>
      <c r="I7" s="31" t="s">
        <v>543</v>
      </c>
      <c r="J7">
        <v>4182262.25</v>
      </c>
      <c r="K7">
        <v>1170222.25</v>
      </c>
      <c r="Q7" s="31" t="s">
        <v>101</v>
      </c>
      <c r="R7">
        <v>628488.19999999984</v>
      </c>
      <c r="S7">
        <v>190028.20000000004</v>
      </c>
    </row>
    <row r="8" spans="1:19">
      <c r="A8" s="30">
        <v>45839</v>
      </c>
      <c r="B8">
        <v>273176.40000000002</v>
      </c>
      <c r="C8">
        <v>74026.400000000009</v>
      </c>
      <c r="E8" s="31" t="s">
        <v>543</v>
      </c>
      <c r="F8">
        <v>4182262.25</v>
      </c>
      <c r="G8">
        <v>1170222.2500000002</v>
      </c>
      <c r="Q8" s="31" t="s">
        <v>543</v>
      </c>
      <c r="R8">
        <v>4182262.2499999995</v>
      </c>
      <c r="S8">
        <v>1170222.25</v>
      </c>
    </row>
    <row r="9" spans="1:19">
      <c r="A9" s="30">
        <v>45870</v>
      </c>
      <c r="B9">
        <v>426069.2</v>
      </c>
      <c r="C9">
        <v>104249.2</v>
      </c>
    </row>
    <row r="10" spans="1:19">
      <c r="A10" s="30">
        <v>45901</v>
      </c>
      <c r="B10">
        <v>510108.74999999994</v>
      </c>
      <c r="C10">
        <v>138588.75</v>
      </c>
    </row>
    <row r="11" spans="1:19">
      <c r="A11" s="30">
        <v>45931</v>
      </c>
      <c r="B11">
        <v>320910.30000000005</v>
      </c>
      <c r="C11">
        <v>83590.299999999988</v>
      </c>
    </row>
    <row r="12" spans="1:19">
      <c r="A12" s="30">
        <v>45962</v>
      </c>
      <c r="B12">
        <v>395578.5</v>
      </c>
      <c r="C12">
        <v>120018.50000000001</v>
      </c>
    </row>
    <row r="13" spans="1:19">
      <c r="A13" s="30">
        <v>45992</v>
      </c>
      <c r="B13">
        <v>200149.05</v>
      </c>
      <c r="C13">
        <v>54699.05</v>
      </c>
    </row>
    <row r="14" spans="1:19">
      <c r="A14" s="30" t="s">
        <v>543</v>
      </c>
      <c r="B14">
        <v>4182262.25</v>
      </c>
      <c r="C14">
        <v>1170222.25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activeCell="F13" sqref="F13"/>
    </sheetView>
  </sheetViews>
  <sheetFormatPr defaultRowHeight="13.8"/>
  <cols>
    <col min="1" max="1" width="18" customWidth="1"/>
    <col min="2" max="3" width="24" customWidth="1"/>
    <col min="4" max="4" width="13.3984375" customWidth="1"/>
    <col min="5" max="5" width="26.69921875" customWidth="1"/>
    <col min="6" max="6" width="26.5" customWidth="1"/>
    <col min="7" max="7" width="25.8984375" customWidth="1"/>
  </cols>
  <sheetData>
    <row r="1" spans="1:6" ht="17.399999999999999">
      <c r="A1" s="79" t="s">
        <v>516</v>
      </c>
      <c r="B1" s="79"/>
      <c r="C1" s="79"/>
      <c r="D1" s="80" t="s">
        <v>547</v>
      </c>
      <c r="E1" s="80"/>
      <c r="F1" s="80"/>
    </row>
    <row r="2" spans="1:6">
      <c r="D2" s="41"/>
      <c r="E2" s="41"/>
      <c r="F2" s="41"/>
    </row>
    <row r="3" spans="1:6">
      <c r="A3" t="s">
        <v>73</v>
      </c>
      <c r="B3" t="s">
        <v>517</v>
      </c>
      <c r="C3" t="s">
        <v>518</v>
      </c>
      <c r="D3" s="40" t="s">
        <v>73</v>
      </c>
      <c r="E3" s="40" t="s">
        <v>546</v>
      </c>
      <c r="F3" t="s">
        <v>548</v>
      </c>
    </row>
    <row r="4" spans="1:6">
      <c r="A4" t="s">
        <v>84</v>
      </c>
      <c r="B4" s="14">
        <v>420000</v>
      </c>
      <c r="C4" s="14">
        <v>95000</v>
      </c>
      <c r="D4" s="41" t="str">
        <f t="shared" ref="D4:D9" si="0">A4</f>
        <v>Ananya</v>
      </c>
      <c r="E4" s="42">
        <f>_xlfn.XLOOKUP(D4,Pivot_Analysis!$Q$2:$Q$7,Pivot_Analysis!$R$2:$R$7,0)/12</f>
        <v>61991.504166666673</v>
      </c>
      <c r="F4" s="42">
        <f>_xlfn.XLOOKUP(D4,$A$4:$A$9,$B$4:$B$9,0)</f>
        <v>420000</v>
      </c>
    </row>
    <row r="5" spans="1:6">
      <c r="A5" t="s">
        <v>92</v>
      </c>
      <c r="B5" s="14">
        <v>445000</v>
      </c>
      <c r="C5" s="14">
        <v>102000</v>
      </c>
      <c r="D5" s="41" t="str">
        <f t="shared" si="0"/>
        <v>Rohan</v>
      </c>
      <c r="E5" s="42">
        <f>_xlfn.XLOOKUP(D5,Pivot_Analysis!$Q$2:$Q$7,Pivot_Analysis!$R$2:$R$7,0)/12</f>
        <v>58926.820833333331</v>
      </c>
      <c r="F5" s="42">
        <f t="shared" ref="F5:F9" si="1">_xlfn.XLOOKUP(D5,$A$4:$A$9,$B$4:$B$9,0)</f>
        <v>445000</v>
      </c>
    </row>
    <row r="6" spans="1:6">
      <c r="A6" t="s">
        <v>98</v>
      </c>
      <c r="B6" s="14">
        <v>470000</v>
      </c>
      <c r="C6" s="14">
        <v>109000</v>
      </c>
      <c r="D6" s="41" t="str">
        <f t="shared" si="0"/>
        <v>Meera</v>
      </c>
      <c r="E6" s="42">
        <f>_xlfn.XLOOKUP(D6,Pivot_Analysis!$Q$2:$Q$7,Pivot_Analysis!$R$2:$R$7,0)/12</f>
        <v>59442.391666666663</v>
      </c>
      <c r="F6" s="42">
        <f t="shared" si="1"/>
        <v>470000</v>
      </c>
    </row>
    <row r="7" spans="1:6">
      <c r="A7" t="s">
        <v>101</v>
      </c>
      <c r="B7" s="14">
        <v>495000</v>
      </c>
      <c r="C7" s="14">
        <v>116000</v>
      </c>
      <c r="D7" s="41" t="str">
        <f t="shared" si="0"/>
        <v>Vikram</v>
      </c>
      <c r="E7" s="42">
        <f>_xlfn.XLOOKUP(D7,Pivot_Analysis!$Q$2:$Q$7,Pivot_Analysis!$R$2:$R$7,0)/12</f>
        <v>52374.016666666656</v>
      </c>
      <c r="F7" s="42">
        <f t="shared" si="1"/>
        <v>495000</v>
      </c>
    </row>
    <row r="8" spans="1:6">
      <c r="A8" t="s">
        <v>106</v>
      </c>
      <c r="B8" s="14">
        <v>520000</v>
      </c>
      <c r="C8" s="14">
        <v>123000</v>
      </c>
      <c r="D8" s="41" t="str">
        <f t="shared" si="0"/>
        <v>Sana</v>
      </c>
      <c r="E8" s="42">
        <f>_xlfn.XLOOKUP(D8,Pivot_Analysis!$Q$2:$Q$7,Pivot_Analysis!$R$2:$R$7,0)/12</f>
        <v>63820.383333333331</v>
      </c>
      <c r="F8" s="42">
        <f t="shared" si="1"/>
        <v>520000</v>
      </c>
    </row>
    <row r="9" spans="1:6">
      <c r="A9" t="s">
        <v>111</v>
      </c>
      <c r="B9" s="14">
        <v>545000</v>
      </c>
      <c r="C9" s="14">
        <v>130000</v>
      </c>
      <c r="D9" s="41" t="str">
        <f t="shared" si="0"/>
        <v>Arjun</v>
      </c>
      <c r="E9" s="42">
        <f>_xlfn.XLOOKUP(D9,Pivot_Analysis!$Q$2:$Q$7,Pivot_Analysis!$R$2:$R$7,0)/12</f>
        <v>51966.737499999988</v>
      </c>
      <c r="F9" s="42">
        <f t="shared" si="1"/>
        <v>545000</v>
      </c>
    </row>
  </sheetData>
  <mergeCells count="2">
    <mergeCell ref="A1:C1"/>
    <mergeCell ref="D1:F1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6"/>
  <sheetViews>
    <sheetView showGridLines="0" tabSelected="1" topLeftCell="A17" workbookViewId="0">
      <selection activeCell="N39" sqref="N39"/>
    </sheetView>
  </sheetViews>
  <sheetFormatPr defaultRowHeight="13.8"/>
  <cols>
    <col min="1" max="12" width="12" customWidth="1"/>
    <col min="13" max="14" width="14" customWidth="1"/>
  </cols>
  <sheetData>
    <row r="1" spans="1:14">
      <c r="A1" s="46" t="s">
        <v>519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4" spans="1:14">
      <c r="A4" s="47" t="s">
        <v>520</v>
      </c>
      <c r="B4" s="47"/>
      <c r="C4" s="47"/>
      <c r="D4" s="47" t="s">
        <v>521</v>
      </c>
      <c r="E4" s="47"/>
      <c r="F4" s="47"/>
      <c r="G4" s="47" t="s">
        <v>522</v>
      </c>
      <c r="H4" s="47"/>
      <c r="I4" s="47"/>
      <c r="J4" s="47" t="s">
        <v>523</v>
      </c>
      <c r="K4" s="47"/>
      <c r="L4" s="47"/>
      <c r="M4" s="47" t="s">
        <v>524</v>
      </c>
      <c r="N4" s="47"/>
    </row>
    <row r="5" spans="1:14" ht="13.8" customHeight="1">
      <c r="A5" s="48">
        <f>Pivot_Analysis!B14</f>
        <v>4182262.25</v>
      </c>
      <c r="B5" s="49"/>
      <c r="C5" s="50"/>
      <c r="D5" s="48">
        <f>Pivot_Analysis!C14</f>
        <v>1170222.25</v>
      </c>
      <c r="E5" s="49"/>
      <c r="F5" s="50"/>
      <c r="G5" s="57">
        <f>IFERROR(D5/A5,0)</f>
        <v>0.27980604277027343</v>
      </c>
      <c r="H5" s="58"/>
      <c r="I5" s="59"/>
      <c r="J5" s="66">
        <f>COUNTA(RawSalesTable5[Order_ID])</f>
        <v>360</v>
      </c>
      <c r="K5" s="67"/>
      <c r="L5" s="68"/>
      <c r="M5" s="57">
        <f>COUNTIF(RawSalesTable5[Returned],"Yes")/COUNTA(RawSalesTable5[Order_ID])</f>
        <v>6.9444444444444448E-2</v>
      </c>
      <c r="N5" s="59"/>
    </row>
    <row r="6" spans="1:14" ht="13.8" customHeight="1">
      <c r="A6" s="51"/>
      <c r="B6" s="52"/>
      <c r="C6" s="53"/>
      <c r="D6" s="51"/>
      <c r="E6" s="52"/>
      <c r="F6" s="53"/>
      <c r="G6" s="60"/>
      <c r="H6" s="61"/>
      <c r="I6" s="62"/>
      <c r="J6" s="69"/>
      <c r="K6" s="70"/>
      <c r="L6" s="71"/>
      <c r="M6" s="60"/>
      <c r="N6" s="62"/>
    </row>
    <row r="7" spans="1:14" ht="13.8" customHeight="1">
      <c r="A7" s="54"/>
      <c r="B7" s="55"/>
      <c r="C7" s="56"/>
      <c r="D7" s="54"/>
      <c r="E7" s="55"/>
      <c r="F7" s="56"/>
      <c r="G7" s="63"/>
      <c r="H7" s="64"/>
      <c r="I7" s="65"/>
      <c r="J7" s="72"/>
      <c r="K7" s="73"/>
      <c r="L7" s="74"/>
      <c r="M7" s="63"/>
      <c r="N7" s="65"/>
    </row>
    <row r="10" spans="1:14" ht="15.6">
      <c r="C10" s="32"/>
      <c r="D10" s="32"/>
      <c r="E10" s="32"/>
      <c r="G10" s="33"/>
    </row>
    <row r="11" spans="1:14" ht="15.6">
      <c r="E11" s="32"/>
      <c r="G11" s="36"/>
    </row>
    <row r="12" spans="1:14" ht="13.8" customHeight="1">
      <c r="E12" s="35"/>
      <c r="G12" s="36"/>
    </row>
    <row r="13" spans="1:14" ht="13.8" customHeight="1">
      <c r="B13" s="34"/>
      <c r="E13" s="35"/>
    </row>
    <row r="14" spans="1:14" ht="13.8" customHeight="1">
      <c r="A14" s="34"/>
      <c r="B14" s="35"/>
      <c r="C14" s="35"/>
      <c r="D14" s="35"/>
      <c r="E14" s="35"/>
      <c r="F14" s="36"/>
      <c r="G14" s="36"/>
    </row>
    <row r="15" spans="1:14" ht="13.8" customHeight="1">
      <c r="A15" s="34"/>
      <c r="B15" s="35"/>
      <c r="C15" s="35"/>
      <c r="D15" s="35"/>
      <c r="E15" s="35"/>
      <c r="F15" s="35"/>
      <c r="G15" s="36"/>
    </row>
    <row r="16" spans="1:14" ht="13.8" customHeight="1">
      <c r="A16" s="34"/>
      <c r="B16" s="35"/>
      <c r="C16" s="35"/>
      <c r="D16" s="35"/>
      <c r="E16" s="35"/>
      <c r="F16" s="35"/>
      <c r="G16" s="36"/>
    </row>
    <row r="17" spans="1:7" ht="13.8" customHeight="1">
      <c r="A17" s="34"/>
      <c r="B17" s="35"/>
      <c r="C17" s="35"/>
      <c r="D17" s="35"/>
      <c r="E17" s="35"/>
      <c r="F17" s="35"/>
      <c r="G17" s="36"/>
    </row>
    <row r="18" spans="1:7" ht="13.8" customHeight="1">
      <c r="A18" s="34"/>
      <c r="B18" s="35"/>
      <c r="C18" s="35"/>
      <c r="D18" s="35"/>
      <c r="E18" s="35"/>
      <c r="F18" s="35"/>
      <c r="G18" s="36"/>
    </row>
    <row r="19" spans="1:7" ht="13.8" customHeight="1">
      <c r="A19" s="34"/>
      <c r="B19" s="35"/>
      <c r="C19" s="35"/>
      <c r="D19" s="35"/>
      <c r="E19" s="35"/>
      <c r="F19" s="35"/>
      <c r="G19" s="36"/>
    </row>
    <row r="20" spans="1:7" ht="13.8" customHeight="1">
      <c r="A20" s="37"/>
      <c r="B20" s="38"/>
      <c r="C20" s="38"/>
      <c r="D20" s="38"/>
      <c r="E20" s="38"/>
      <c r="F20" s="38"/>
      <c r="G20" s="39"/>
    </row>
    <row r="34" spans="1:1" ht="13.8" customHeight="1"/>
    <row r="37" spans="1:1">
      <c r="A37" s="44" t="s">
        <v>556</v>
      </c>
    </row>
    <row r="38" spans="1:1">
      <c r="A38" s="45" t="s">
        <v>557</v>
      </c>
    </row>
    <row r="39" spans="1:1">
      <c r="A39" s="45" t="s">
        <v>558</v>
      </c>
    </row>
    <row r="40" spans="1:1">
      <c r="A40" t="s">
        <v>559</v>
      </c>
    </row>
    <row r="41" spans="1:1">
      <c r="A41" s="44" t="s">
        <v>61</v>
      </c>
    </row>
    <row r="42" spans="1:1">
      <c r="A42" t="s">
        <v>552</v>
      </c>
    </row>
    <row r="43" spans="1:1">
      <c r="A43" t="s">
        <v>551</v>
      </c>
    </row>
    <row r="44" spans="1:1">
      <c r="A44" t="s">
        <v>553</v>
      </c>
    </row>
    <row r="45" spans="1:1">
      <c r="A45" t="s">
        <v>554</v>
      </c>
    </row>
    <row r="46" spans="1:1">
      <c r="A46" t="s">
        <v>555</v>
      </c>
    </row>
  </sheetData>
  <mergeCells count="11">
    <mergeCell ref="A1:N2"/>
    <mergeCell ref="A4:C4"/>
    <mergeCell ref="A5:C7"/>
    <mergeCell ref="D4:F4"/>
    <mergeCell ref="D5:F7"/>
    <mergeCell ref="G4:I4"/>
    <mergeCell ref="G5:I7"/>
    <mergeCell ref="J4:L4"/>
    <mergeCell ref="J5:L7"/>
    <mergeCell ref="M4:N4"/>
    <mergeCell ref="M5:N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selection activeCell="C29" sqref="C29:C30"/>
    </sheetView>
  </sheetViews>
  <sheetFormatPr defaultRowHeight="13.8"/>
  <cols>
    <col min="1" max="1" width="16" customWidth="1"/>
    <col min="2" max="2" width="24" customWidth="1"/>
    <col min="3" max="3" width="18" customWidth="1"/>
    <col min="4" max="5" width="14" customWidth="1"/>
  </cols>
  <sheetData>
    <row r="1" spans="1:5" ht="17.399999999999999">
      <c r="A1" s="79" t="s">
        <v>494</v>
      </c>
      <c r="B1" s="79"/>
      <c r="C1" s="79"/>
      <c r="D1" s="79"/>
      <c r="E1" s="79"/>
    </row>
    <row r="3" spans="1:5">
      <c r="A3" t="s">
        <v>74</v>
      </c>
      <c r="B3" t="s">
        <v>495</v>
      </c>
      <c r="C3" t="s">
        <v>496</v>
      </c>
      <c r="D3" t="s">
        <v>497</v>
      </c>
      <c r="E3" t="s">
        <v>498</v>
      </c>
    </row>
    <row r="4" spans="1:5">
      <c r="A4" t="s">
        <v>124</v>
      </c>
      <c r="B4" t="s">
        <v>499</v>
      </c>
      <c r="C4" t="s">
        <v>500</v>
      </c>
      <c r="D4" s="14">
        <v>799</v>
      </c>
      <c r="E4" s="14">
        <v>420</v>
      </c>
    </row>
    <row r="5" spans="1:5">
      <c r="A5" t="s">
        <v>118</v>
      </c>
      <c r="B5" t="s">
        <v>501</v>
      </c>
      <c r="C5" t="s">
        <v>500</v>
      </c>
      <c r="D5" s="14">
        <v>2499</v>
      </c>
      <c r="E5" s="14">
        <v>1450</v>
      </c>
    </row>
    <row r="6" spans="1:5">
      <c r="A6" t="s">
        <v>121</v>
      </c>
      <c r="B6" t="s">
        <v>502</v>
      </c>
      <c r="C6" t="s">
        <v>500</v>
      </c>
      <c r="D6" s="14">
        <v>2899</v>
      </c>
      <c r="E6" s="14">
        <v>1700</v>
      </c>
    </row>
    <row r="7" spans="1:5">
      <c r="A7" t="s">
        <v>115</v>
      </c>
      <c r="B7" t="s">
        <v>503</v>
      </c>
      <c r="C7" t="s">
        <v>500</v>
      </c>
      <c r="D7" s="14">
        <v>1599</v>
      </c>
      <c r="E7" s="14">
        <v>870</v>
      </c>
    </row>
    <row r="8" spans="1:5">
      <c r="A8" t="s">
        <v>138</v>
      </c>
      <c r="B8" t="s">
        <v>504</v>
      </c>
      <c r="C8" t="s">
        <v>505</v>
      </c>
      <c r="D8" s="14">
        <v>12999</v>
      </c>
      <c r="E8" s="14">
        <v>9100</v>
      </c>
    </row>
    <row r="9" spans="1:5">
      <c r="A9" t="s">
        <v>93</v>
      </c>
      <c r="B9" t="s">
        <v>506</v>
      </c>
      <c r="C9" t="s">
        <v>507</v>
      </c>
      <c r="D9" s="14">
        <v>3499</v>
      </c>
      <c r="E9" s="14">
        <v>2100</v>
      </c>
    </row>
    <row r="10" spans="1:5">
      <c r="A10" t="s">
        <v>154</v>
      </c>
      <c r="B10" t="s">
        <v>508</v>
      </c>
      <c r="C10" t="s">
        <v>500</v>
      </c>
      <c r="D10" s="14">
        <v>1899</v>
      </c>
      <c r="E10" s="14">
        <v>980</v>
      </c>
    </row>
    <row r="11" spans="1:5">
      <c r="A11" t="s">
        <v>102</v>
      </c>
      <c r="B11" t="s">
        <v>509</v>
      </c>
      <c r="C11" t="s">
        <v>510</v>
      </c>
      <c r="D11" s="14">
        <v>6999</v>
      </c>
      <c r="E11" s="14">
        <v>4900</v>
      </c>
    </row>
    <row r="12" spans="1:5">
      <c r="A12" t="s">
        <v>85</v>
      </c>
      <c r="B12" t="s">
        <v>511</v>
      </c>
      <c r="C12" t="s">
        <v>512</v>
      </c>
      <c r="D12" s="14">
        <v>10499</v>
      </c>
      <c r="E12" s="14">
        <v>7600</v>
      </c>
    </row>
    <row r="13" spans="1:5">
      <c r="A13" t="s">
        <v>147</v>
      </c>
      <c r="B13" t="s">
        <v>513</v>
      </c>
      <c r="C13" t="s">
        <v>512</v>
      </c>
      <c r="D13" s="14">
        <v>1999</v>
      </c>
      <c r="E13" s="14">
        <v>1050</v>
      </c>
    </row>
    <row r="14" spans="1:5">
      <c r="A14" t="s">
        <v>107</v>
      </c>
      <c r="B14" t="s">
        <v>514</v>
      </c>
      <c r="C14" t="s">
        <v>507</v>
      </c>
      <c r="D14" s="14">
        <v>2799</v>
      </c>
      <c r="E14" s="14">
        <v>1650</v>
      </c>
    </row>
    <row r="15" spans="1:5">
      <c r="A15" t="s">
        <v>149</v>
      </c>
      <c r="B15" t="s">
        <v>515</v>
      </c>
      <c r="C15" t="s">
        <v>510</v>
      </c>
      <c r="D15" s="14">
        <v>5899</v>
      </c>
      <c r="E15" s="14">
        <v>4100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workbookViewId="0">
      <selection activeCell="E8" sqref="E8"/>
    </sheetView>
  </sheetViews>
  <sheetFormatPr defaultRowHeight="13.8"/>
  <cols>
    <col min="1" max="1" width="14" customWidth="1"/>
    <col min="2" max="2" width="28" customWidth="1"/>
    <col min="3" max="3" width="14" customWidth="1"/>
    <col min="4" max="4" width="28" customWidth="1"/>
    <col min="5" max="6" width="35" customWidth="1"/>
  </cols>
  <sheetData>
    <row r="1" spans="1:6" ht="17.399999999999999">
      <c r="A1" s="79" t="s">
        <v>525</v>
      </c>
      <c r="B1" s="79"/>
      <c r="C1" s="79"/>
      <c r="D1" s="79"/>
      <c r="E1" s="79"/>
      <c r="F1" s="79"/>
    </row>
    <row r="3" spans="1:6">
      <c r="A3" s="18" t="s">
        <v>526</v>
      </c>
      <c r="B3" s="19" t="s">
        <v>4</v>
      </c>
      <c r="C3" s="19" t="s">
        <v>527</v>
      </c>
      <c r="D3" s="19" t="s">
        <v>528</v>
      </c>
      <c r="E3" s="19" t="s">
        <v>529</v>
      </c>
      <c r="F3" s="20" t="s">
        <v>530</v>
      </c>
    </row>
    <row r="4" spans="1:6" ht="55.2">
      <c r="A4" s="21" t="s">
        <v>549</v>
      </c>
      <c r="B4" s="43" t="s">
        <v>562</v>
      </c>
      <c r="C4" s="22" t="s">
        <v>564</v>
      </c>
      <c r="D4" s="22" t="s">
        <v>565</v>
      </c>
      <c r="E4" s="22" t="s">
        <v>566</v>
      </c>
      <c r="F4" s="23" t="s">
        <v>560</v>
      </c>
    </row>
    <row r="5" spans="1:6" ht="41.4">
      <c r="A5" s="21" t="s">
        <v>550</v>
      </c>
      <c r="B5" s="22" t="s">
        <v>563</v>
      </c>
      <c r="C5" s="22" t="s">
        <v>564</v>
      </c>
      <c r="D5" s="22" t="s">
        <v>565</v>
      </c>
      <c r="E5" s="22" t="s">
        <v>566</v>
      </c>
      <c r="F5" s="23" t="s">
        <v>561</v>
      </c>
    </row>
    <row r="6" spans="1:6">
      <c r="A6" s="21"/>
      <c r="B6" s="22"/>
      <c r="C6" s="22"/>
      <c r="D6" s="22"/>
      <c r="E6" s="22"/>
      <c r="F6" s="23"/>
    </row>
    <row r="7" spans="1:6">
      <c r="A7" s="21"/>
      <c r="B7" s="22"/>
      <c r="C7" s="22"/>
      <c r="D7" s="22"/>
      <c r="E7" s="22"/>
      <c r="F7" s="23"/>
    </row>
    <row r="8" spans="1:6">
      <c r="A8" s="21"/>
      <c r="B8" s="22"/>
      <c r="C8" s="22"/>
      <c r="D8" s="22"/>
      <c r="E8" s="22"/>
      <c r="F8" s="23"/>
    </row>
    <row r="9" spans="1:6">
      <c r="A9" s="21"/>
      <c r="B9" s="22"/>
      <c r="C9" s="22"/>
      <c r="D9" s="22"/>
      <c r="E9" s="22"/>
      <c r="F9" s="23"/>
    </row>
    <row r="10" spans="1:6">
      <c r="A10" s="21"/>
      <c r="B10" s="22"/>
      <c r="C10" s="22"/>
      <c r="D10" s="22"/>
      <c r="E10" s="22"/>
      <c r="F10" s="23"/>
    </row>
    <row r="11" spans="1:6">
      <c r="A11" s="21"/>
      <c r="B11" s="22"/>
      <c r="C11" s="22"/>
      <c r="D11" s="22"/>
      <c r="E11" s="22"/>
      <c r="F11" s="23"/>
    </row>
    <row r="12" spans="1:6">
      <c r="A12" s="21"/>
      <c r="B12" s="22"/>
      <c r="C12" s="22"/>
      <c r="D12" s="22"/>
      <c r="E12" s="22"/>
      <c r="F12" s="23"/>
    </row>
    <row r="13" spans="1:6">
      <c r="A13" s="21"/>
      <c r="B13" s="22"/>
      <c r="C13" s="22"/>
      <c r="D13" s="22"/>
      <c r="E13" s="22"/>
      <c r="F13" s="23"/>
    </row>
    <row r="14" spans="1:6">
      <c r="A14" s="21"/>
      <c r="B14" s="22"/>
      <c r="C14" s="22"/>
      <c r="D14" s="22"/>
      <c r="E14" s="22"/>
      <c r="F14" s="23"/>
    </row>
    <row r="15" spans="1:6">
      <c r="A15" s="24"/>
      <c r="B15" s="25"/>
      <c r="C15" s="25"/>
      <c r="D15" s="25"/>
      <c r="E15" s="25"/>
      <c r="F15" s="26"/>
    </row>
  </sheetData>
  <mergeCells count="1">
    <mergeCell ref="A1:F1"/>
  </mergeCells>
  <dataValidations count="1">
    <dataValidation type="list" sqref="C4:C15" xr:uid="{00000000-0002-0000-0500-000000000000}">
      <formula1>"Yes,Partly,No"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Cleaned_data</vt:lpstr>
      <vt:lpstr>Raw_Sales</vt:lpstr>
      <vt:lpstr>Pivot_Analysis</vt:lpstr>
      <vt:lpstr>Sales_Targets</vt:lpstr>
      <vt:lpstr>Dashboard_Canvas</vt:lpstr>
      <vt:lpstr>Product_Lookup</vt:lpstr>
      <vt:lpstr>Work_Log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PRASHANTE .</cp:lastModifiedBy>
  <dcterms:modified xsi:type="dcterms:W3CDTF">2026-08-25T08:05:15Z</dcterms:modified>
</cp:coreProperties>
</file>